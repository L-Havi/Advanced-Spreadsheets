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ämäTyökirja" defaultThemeVersion="166925"/>
  <mc:AlternateContent xmlns:mc="http://schemas.openxmlformats.org/markup-compatibility/2006">
    <mc:Choice Requires="x15">
      <x15ac:absPath xmlns:x15ac="http://schemas.microsoft.com/office/spreadsheetml/2010/11/ac" url="C:\Users\lauri\Downloads\"/>
    </mc:Choice>
  </mc:AlternateContent>
  <xr:revisionPtr revIDLastSave="0" documentId="13_ncr:1_{F901AE1B-C143-43C3-AD31-FF59A84A4CBD}" xr6:coauthVersionLast="47" xr6:coauthVersionMax="47" xr10:uidLastSave="{00000000-0000-0000-0000-000000000000}"/>
  <bookViews>
    <workbookView xWindow="-120" yWindow="-120" windowWidth="29040" windowHeight="15720" xr2:uid="{9E8B5444-C245-4944-817E-8B117B8EB1F4}"/>
  </bookViews>
  <sheets>
    <sheet name="Etusivu" sheetId="1" r:id="rId1"/>
    <sheet name="masterdata" sheetId="4" state="hidden" r:id="rId2"/>
    <sheet name="Esimerkkitaulukko" sheetId="2" state="hidden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9" i="1" l="1"/>
  <c r="N15" i="2"/>
  <c r="N14" i="2"/>
  <c r="N13" i="2"/>
  <c r="N11" i="2"/>
  <c r="N10" i="2"/>
  <c r="N9" i="2"/>
  <c r="N8" i="2"/>
  <c r="N7" i="2"/>
  <c r="N6" i="2"/>
  <c r="N5" i="2"/>
  <c r="N4" i="2"/>
</calcChain>
</file>

<file path=xl/sharedStrings.xml><?xml version="1.0" encoding="utf-8"?>
<sst xmlns="http://schemas.openxmlformats.org/spreadsheetml/2006/main" count="32" uniqueCount="31">
  <si>
    <t>Arvioinnin numero</t>
  </si>
  <si>
    <t>Arviointiluokka</t>
  </si>
  <si>
    <t>Arvosana</t>
  </si>
  <si>
    <t>Selite</t>
  </si>
  <si>
    <t>Päivämäärä</t>
  </si>
  <si>
    <t>Kellonaika</t>
  </si>
  <si>
    <t>Arvioidut oppitunnit:</t>
  </si>
  <si>
    <t>Keskiarvo (oppitunnit):</t>
  </si>
  <si>
    <t>Arvioidut näytöt:</t>
  </si>
  <si>
    <t>Keskiarvo (näytöt):</t>
  </si>
  <si>
    <t>Arvioidut kokeet:</t>
  </si>
  <si>
    <t>Keskiarvo (kokeet):</t>
  </si>
  <si>
    <t>Arvioidut muut:</t>
  </si>
  <si>
    <t>Keskiarvo (muut):</t>
  </si>
  <si>
    <t>Arvioidut suoritukset:</t>
  </si>
  <si>
    <t>Kokonaiskeskiarvo:</t>
  </si>
  <si>
    <t>Yhteenveto</t>
  </si>
  <si>
    <t>Kokonaistyyppiarvo:</t>
  </si>
  <si>
    <t>Oppilas</t>
  </si>
  <si>
    <t>Arvioidut suoritukset</t>
  </si>
  <si>
    <t>Keskiarvo</t>
  </si>
  <si>
    <t>dss</t>
  </si>
  <si>
    <t>Sarake1</t>
  </si>
  <si>
    <t>Suorituksia arvioitu yhteensä:</t>
  </si>
  <si>
    <t>Kaikkien oppilaiden kokonaiskeskiarvo:</t>
  </si>
  <si>
    <t>Sisäänkirjautunut:</t>
  </si>
  <si>
    <t>Etunimi</t>
  </si>
  <si>
    <t>Sukunimi</t>
  </si>
  <si>
    <t>Tunnus</t>
  </si>
  <si>
    <t>Salasana</t>
  </si>
  <si>
    <t>Kokonaiskeskiarvo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</si>
</sst>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7FA2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D517F"/>
        <bgColor indexed="64"/>
      </patternFill>
    </fill>
    <fill>
      <patternFill patternType="solid">
        <fgColor rgb="FF007FA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14" fontId="0" fillId="0" borderId="0" xfId="0" applyNumberFormat="1"/>
    <xf numFmtId="20" fontId="0" fillId="0" borderId="0" xfId="0" applyNumberFormat="1"/>
    <xf numFmtId="0" fontId="0" fillId="0" borderId="3" xfId="0" applyBorder="1"/>
    <xf numFmtId="0" fontId="0" fillId="0" borderId="7" xfId="0" applyBorder="1"/>
    <xf numFmtId="0" fontId="0" fillId="0" borderId="6" xfId="0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5" borderId="13" xfId="0" applyFill="1" applyBorder="1"/>
    <xf numFmtId="0" fontId="0" fillId="5" borderId="14" xfId="0" applyFill="1" applyBorder="1"/>
    <xf numFmtId="0" fontId="0" fillId="0" borderId="0" xfId="0" applyFill="1"/>
    <xf numFmtId="14" fontId="0" fillId="0" borderId="0" xfId="0" applyNumberFormat="1" applyFill="1"/>
    <xf numFmtId="20" fontId="0" fillId="0" borderId="0" xfId="0" applyNumberFormat="1" applyFill="1"/>
    <xf numFmtId="0" fontId="2" fillId="4" borderId="0" xfId="0" applyFont="1" applyFill="1"/>
    <xf numFmtId="0" fontId="0" fillId="3" borderId="0" xfId="0" applyFill="1"/>
    <xf numFmtId="0" fontId="0" fillId="6" borderId="0" xfId="0" applyFont="1" applyFill="1" applyBorder="1"/>
    <xf numFmtId="0" fontId="0" fillId="6" borderId="0" xfId="0" applyFill="1" applyBorder="1"/>
    <xf numFmtId="0" fontId="4" fillId="6" borderId="0" xfId="0" applyFont="1" applyFill="1" applyBorder="1"/>
    <xf numFmtId="0" fontId="2" fillId="3" borderId="10" xfId="0" applyFont="1" applyFill="1" applyBorder="1"/>
    <xf numFmtId="0" fontId="2" fillId="3" borderId="15" xfId="0" applyFont="1" applyFill="1" applyBorder="1"/>
    <xf numFmtId="0" fontId="0" fillId="4" borderId="16" xfId="0" applyFill="1" applyBorder="1"/>
    <xf numFmtId="0" fontId="0" fillId="4" borderId="6" xfId="0" applyFill="1" applyBorder="1"/>
    <xf numFmtId="0" fontId="2" fillId="5" borderId="17" xfId="0" applyFont="1" applyFill="1" applyBorder="1" applyAlignment="1">
      <alignment horizontal="right" vertical="center"/>
    </xf>
    <xf numFmtId="0" fontId="2" fillId="6" borderId="17" xfId="0" applyFont="1" applyFill="1" applyBorder="1" applyAlignment="1">
      <alignment horizontal="right" vertical="center"/>
    </xf>
    <xf numFmtId="0" fontId="0" fillId="5" borderId="17" xfId="0" applyFill="1" applyBorder="1"/>
    <xf numFmtId="0" fontId="0" fillId="5" borderId="18" xfId="0" applyFill="1" applyBorder="1"/>
    <xf numFmtId="0" fontId="0" fillId="6" borderId="18" xfId="0" applyFill="1" applyBorder="1"/>
    <xf numFmtId="0" fontId="0" fillId="4" borderId="12" xfId="0" applyFill="1" applyBorder="1"/>
    <xf numFmtId="0" fontId="0" fillId="4" borderId="19" xfId="0" applyFill="1" applyBorder="1" applyAlignment="1">
      <alignment horizontal="right"/>
    </xf>
    <xf numFmtId="0" fontId="4" fillId="0" borderId="0" xfId="0" applyFont="1"/>
    <xf numFmtId="0" fontId="7" fillId="6" borderId="0" xfId="0" applyFont="1" applyFill="1"/>
    <xf numFmtId="0" fontId="7" fillId="6" borderId="0" xfId="0" applyFont="1" applyFill="1" applyBorder="1"/>
    <xf numFmtId="0" fontId="8" fillId="6" borderId="0" xfId="0" applyFont="1" applyFill="1" applyBorder="1"/>
    <xf numFmtId="0" fontId="0" fillId="6" borderId="0" xfId="0" applyFont="1" applyFill="1"/>
    <xf numFmtId="0" fontId="3" fillId="0" borderId="1" xfId="0" applyFont="1" applyFill="1" applyBorder="1" applyAlignment="1"/>
    <xf numFmtId="0" fontId="3" fillId="0" borderId="2" xfId="0" applyFont="1" applyFill="1" applyBorder="1" applyAlignment="1"/>
    <xf numFmtId="0" fontId="3" fillId="0" borderId="3" xfId="0" applyFont="1" applyFill="1" applyBorder="1" applyAlignment="1"/>
    <xf numFmtId="0" fontId="3" fillId="0" borderId="4" xfId="0" applyFont="1" applyFill="1" applyBorder="1" applyAlignment="1"/>
    <xf numFmtId="0" fontId="3" fillId="0" borderId="5" xfId="0" applyFont="1" applyFill="1" applyBorder="1" applyAlignment="1"/>
    <xf numFmtId="0" fontId="3" fillId="0" borderId="6" xfId="0" applyFont="1" applyFill="1" applyBorder="1" applyAlignment="1"/>
    <xf numFmtId="0" fontId="1" fillId="3" borderId="11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</cellXfs>
  <cellStyles count="1">
    <cellStyle name="Normal" xfId="0" builtinId="0"/>
  </cellStyles>
  <dxfs count="11">
    <dxf>
      <font>
        <strike val="0"/>
        <outline val="0"/>
        <shadow val="0"/>
        <u val="none"/>
        <vertAlign val="baseline"/>
        <sz val="11"/>
        <color rgb="FF007FA2"/>
        <name val="Calibri"/>
        <family val="2"/>
        <scheme val="minor"/>
      </font>
      <numFmt numFmtId="0" formatCode="General"/>
      <fill>
        <patternFill patternType="solid">
          <fgColor indexed="64"/>
          <bgColor rgb="FF007FA2"/>
        </patternFill>
      </fill>
    </dxf>
    <dxf>
      <font>
        <strike val="0"/>
        <outline val="0"/>
        <shadow val="0"/>
        <u val="none"/>
        <vertAlign val="baseline"/>
        <sz val="11"/>
        <color rgb="FF007FA2"/>
        <name val="Calibri"/>
        <family val="2"/>
        <scheme val="minor"/>
      </font>
      <fill>
        <patternFill patternType="solid">
          <fgColor indexed="64"/>
          <bgColor rgb="FF007FA2"/>
        </patternFill>
      </fill>
    </dxf>
    <dxf>
      <font>
        <strike val="0"/>
        <outline val="0"/>
        <shadow val="0"/>
        <u val="none"/>
        <vertAlign val="baseline"/>
        <sz val="11"/>
        <color rgb="FF007FA2"/>
        <name val="Calibri"/>
        <family val="2"/>
        <scheme val="minor"/>
      </font>
      <fill>
        <patternFill patternType="solid">
          <fgColor indexed="64"/>
          <bgColor rgb="FF007FA2"/>
        </patternFill>
      </fill>
    </dxf>
    <dxf>
      <font>
        <strike val="0"/>
        <outline val="0"/>
        <shadow val="0"/>
        <u val="none"/>
        <vertAlign val="baseline"/>
        <sz val="11"/>
        <color rgb="FF007FA2"/>
        <name val="Calibri"/>
        <family val="2"/>
        <scheme val="minor"/>
      </font>
      <numFmt numFmtId="0" formatCode="General"/>
      <fill>
        <patternFill patternType="solid">
          <fgColor indexed="64"/>
          <bgColor rgb="FF007FA2"/>
        </patternFill>
      </fill>
    </dxf>
    <dxf>
      <font>
        <strike val="0"/>
        <outline val="0"/>
        <shadow val="0"/>
        <u val="none"/>
        <vertAlign val="baseline"/>
        <sz val="11"/>
        <color rgb="FF007FA2"/>
        <name val="Calibri"/>
        <family val="2"/>
        <scheme val="minor"/>
      </font>
      <fill>
        <patternFill patternType="solid">
          <fgColor indexed="64"/>
          <bgColor rgb="FF007FA2"/>
        </patternFill>
      </fill>
    </dxf>
    <dxf>
      <font>
        <strike val="0"/>
        <outline val="0"/>
        <shadow val="0"/>
        <u val="none"/>
        <vertAlign val="baseline"/>
        <sz val="11"/>
        <color rgb="FF007FA2"/>
        <name val="Calibri"/>
        <family val="2"/>
        <scheme val="minor"/>
      </font>
      <fill>
        <patternFill patternType="solid">
          <fgColor indexed="64"/>
          <bgColor rgb="FF007FA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7FA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7FA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7FA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7FA2"/>
        </patternFill>
      </fill>
    </dxf>
    <dxf>
      <fill>
        <patternFill patternType="solid">
          <fgColor indexed="64"/>
          <bgColor theme="4"/>
        </patternFill>
      </fill>
    </dxf>
  </dxfs>
  <tableStyles count="0" defaultTableStyle="TableStyleMedium2" defaultPivotStyle="PivotStyleLight16"/>
  <colors>
    <mruColors>
      <color rgb="FF007FA2"/>
      <color rgb="FFED51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6</xdr:row>
          <xdr:rowOff>123825</xdr:rowOff>
        </xdr:from>
        <xdr:to>
          <xdr:col>6</xdr:col>
          <xdr:colOff>295275</xdr:colOff>
          <xdr:row>11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Lisää oppilas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123825</xdr:rowOff>
        </xdr:from>
        <xdr:to>
          <xdr:col>3</xdr:col>
          <xdr:colOff>285750</xdr:colOff>
          <xdr:row>11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Poista oppilas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6</xdr:row>
          <xdr:rowOff>142875</xdr:rowOff>
        </xdr:from>
        <xdr:to>
          <xdr:col>9</xdr:col>
          <xdr:colOff>314325</xdr:colOff>
          <xdr:row>11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Siirry oppilaan sivulle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333375</xdr:colOff>
          <xdr:row>0</xdr:row>
          <xdr:rowOff>123825</xdr:rowOff>
        </xdr:from>
        <xdr:to>
          <xdr:col>5</xdr:col>
          <xdr:colOff>9525</xdr:colOff>
          <xdr:row>2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Painike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0</xdr:row>
          <xdr:rowOff>123825</xdr:rowOff>
        </xdr:from>
        <xdr:to>
          <xdr:col>8</xdr:col>
          <xdr:colOff>9525</xdr:colOff>
          <xdr:row>2</xdr:row>
          <xdr:rowOff>104775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Kirjaudu sisään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123825</xdr:rowOff>
        </xdr:from>
        <xdr:to>
          <xdr:col>11</xdr:col>
          <xdr:colOff>9525</xdr:colOff>
          <xdr:row>2</xdr:row>
          <xdr:rowOff>104775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Kirjaudu ulos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333375</xdr:colOff>
          <xdr:row>0</xdr:row>
          <xdr:rowOff>123825</xdr:rowOff>
        </xdr:from>
        <xdr:to>
          <xdr:col>5</xdr:col>
          <xdr:colOff>9525</xdr:colOff>
          <xdr:row>2</xdr:row>
          <xdr:rowOff>104775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Luo uusi käyttäjä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266700</xdr:colOff>
          <xdr:row>0</xdr:row>
          <xdr:rowOff>123825</xdr:rowOff>
        </xdr:from>
        <xdr:to>
          <xdr:col>16</xdr:col>
          <xdr:colOff>371475</xdr:colOff>
          <xdr:row>2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Vaihda salasana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0</xdr:row>
          <xdr:rowOff>114300</xdr:rowOff>
        </xdr:from>
        <xdr:to>
          <xdr:col>16</xdr:col>
          <xdr:colOff>2143125</xdr:colOff>
          <xdr:row>2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Poista käyttäjä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9525</xdr:rowOff>
        </xdr:from>
        <xdr:to>
          <xdr:col>11</xdr:col>
          <xdr:colOff>0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Lisää arvosana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7</xdr:row>
          <xdr:rowOff>47625</xdr:rowOff>
        </xdr:from>
        <xdr:to>
          <xdr:col>10</xdr:col>
          <xdr:colOff>590550</xdr:colOff>
          <xdr:row>9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Poista arvosana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10</xdr:row>
          <xdr:rowOff>47625</xdr:rowOff>
        </xdr:from>
        <xdr:to>
          <xdr:col>10</xdr:col>
          <xdr:colOff>590550</xdr:colOff>
          <xdr:row>12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Muokkaa arvosanaa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13</xdr:row>
          <xdr:rowOff>19050</xdr:rowOff>
        </xdr:from>
        <xdr:to>
          <xdr:col>10</xdr:col>
          <xdr:colOff>581025</xdr:colOff>
          <xdr:row>14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Tallenna omaan taulukkoon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16</xdr:row>
          <xdr:rowOff>9525</xdr:rowOff>
        </xdr:from>
        <xdr:to>
          <xdr:col>10</xdr:col>
          <xdr:colOff>590550</xdr:colOff>
          <xdr:row>17</xdr:row>
          <xdr:rowOff>180975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i-FI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Etusivu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F8A992-96DC-4500-A2B7-8438532952EB}" name="Taulukko3" displayName="Taulukko3" ref="M9:O10" insertRow="1" totalsRowShown="0" headerRowDxfId="10" dataDxfId="9">
  <autoFilter ref="M9:O10" xr:uid="{50F8A992-96DC-4500-A2B7-8438532952EB}"/>
  <tableColumns count="3">
    <tableColumn id="1" xr3:uid="{76D09B5F-F4E4-4B44-9D26-3D2DF27B4BB2}" name="Oppilas" dataDxfId="8"/>
    <tableColumn id="2" xr3:uid="{75DD8FC2-7431-4D72-8339-67C62AECAA58}" name="Arvioidut suoritukset" dataDxfId="7"/>
    <tableColumn id="3" xr3:uid="{734EC8EF-25B5-4723-9258-16DE7A7D795F}" name="Keskiarvo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797E5D2-C8E2-4C3F-8636-FA1DBC09300B}" name="Taulukko28" displayName="Taulukko28" ref="AE9:AE47" totalsRowShown="0" headerRowDxfId="5" dataDxfId="4">
  <autoFilter ref="AE9:AE47" xr:uid="{8797E5D2-C8E2-4C3F-8636-FA1DBC09300B}"/>
  <tableColumns count="1">
    <tableColumn id="1" xr3:uid="{0AB8F8B3-1B47-48A2-A588-5327223B2E19}" name="Sarake1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DF5EBE2D-0CBF-4ABF-AF50-2896E5A1E531}" name="Taulukko29" displayName="Taulukko29" ref="AC9:AC47" totalsRowShown="0" headerRowDxfId="2" dataDxfId="1">
  <autoFilter ref="AC9:AC47" xr:uid="{DF5EBE2D-0CBF-4ABF-AF50-2896E5A1E531}"/>
  <tableColumns count="1">
    <tableColumn id="1" xr3:uid="{9F0FEC7B-A979-4BBC-BFEE-6554EB0C0587}" name="Sarake1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9D5BCF8-05F6-4617-885B-8B944083CF1E}" name="Taulukko4" displayName="Taulukko4" ref="A1:E5" totalsRowShown="0">
  <autoFilter ref="A1:E5" xr:uid="{99D5BCF8-05F6-4617-885B-8B944083CF1E}"/>
  <tableColumns count="5">
    <tableColumn id="1" xr3:uid="{2124BAB0-71AB-43B1-B85B-5329E82D02BA}" name="Etunimi"/>
    <tableColumn id="2" xr3:uid="{EEE01CFF-56EC-40B4-962B-9E7205797D9B}" name="Sukunimi"/>
    <tableColumn id="3" xr3:uid="{0C6F2DEC-DE4F-437D-BA82-3E1ABFB7B77A}" name="Tunnus"/>
    <tableColumn id="4" xr3:uid="{287C66F6-6E42-46CE-A808-8D1843D8437D}" name="Salasana"/>
    <tableColumn id="6" xr3:uid="{AAD5BC24-7732-4483-AE74-4E811CF4591B}" name="Kokonaiskeskiarv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DAE14F4-EFB9-4B24-9489-6395543724B2}" name="Taulukko1" displayName="Taulukko1" ref="B2:G3" totalsRowShown="0">
  <autoFilter ref="B2:G3" xr:uid="{495767BC-5652-498A-8379-4A192A1A5AB0}"/>
  <tableColumns count="6">
    <tableColumn id="1" xr3:uid="{C8790613-A287-411C-87F9-36CF2DE9AD72}" name="Arvioinnin numero"/>
    <tableColumn id="6" xr3:uid="{7A4DB30E-4D88-415C-8786-4FE98215645F}" name="Päivämäärä"/>
    <tableColumn id="5" xr3:uid="{30971FCB-6424-49A3-B7BB-9AF29739FB05}" name="Kellonaika"/>
    <tableColumn id="2" xr3:uid="{40711CAF-744A-47CB-953E-32804121E564}" name="Arviointiluokka"/>
    <tableColumn id="3" xr3:uid="{29DCE793-8520-4602-96B8-B0AB0F52D04A}" name="Arvosana"/>
    <tableColumn id="4" xr3:uid="{02B3613B-619A-4616-B1F6-342CC05D961E}" name="Seli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3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F62AD-6913-4F38-9901-3C1089ED0006}">
  <sheetPr codeName="Taul1"/>
  <dimension ref="A1:BG209"/>
  <sheetViews>
    <sheetView tabSelected="1" zoomScale="75" zoomScaleNormal="75" workbookViewId="0">
      <selection activeCell="L22" sqref="L22"/>
    </sheetView>
  </sheetViews>
  <sheetFormatPr defaultRowHeight="15" x14ac:dyDescent="0.25"/>
  <cols>
    <col min="13" max="13" width="16.42578125" customWidth="1"/>
    <col min="14" max="14" width="24.85546875" customWidth="1"/>
    <col min="15" max="15" width="11.28515625" customWidth="1"/>
    <col min="17" max="17" width="36.7109375" bestFit="1" customWidth="1"/>
    <col min="29" max="29" width="10" customWidth="1"/>
    <col min="31" max="31" width="10" customWidth="1"/>
  </cols>
  <sheetData>
    <row r="1" spans="13:33" s="9" customFormat="1" ht="15.75" thickBot="1" x14ac:dyDescent="0.3">
      <c r="AG1" s="17" t="s">
        <v>21</v>
      </c>
    </row>
    <row r="2" spans="13:33" s="9" customFormat="1" ht="15.75" thickBot="1" x14ac:dyDescent="0.3">
      <c r="M2" s="32" t="s">
        <v>25</v>
      </c>
      <c r="N2" s="31"/>
    </row>
    <row r="3" spans="13:33" s="9" customFormat="1" x14ac:dyDescent="0.25"/>
    <row r="4" spans="13:33" s="12" customFormat="1" x14ac:dyDescent="0.25"/>
    <row r="5" spans="13:33" s="13" customFormat="1" x14ac:dyDescent="0.25"/>
    <row r="6" spans="13:33" s="11" customFormat="1" x14ac:dyDescent="0.25"/>
    <row r="7" spans="13:33" s="11" customFormat="1" x14ac:dyDescent="0.25"/>
    <row r="8" spans="13:33" s="11" customFormat="1" ht="15.75" thickBot="1" x14ac:dyDescent="0.3"/>
    <row r="9" spans="13:33" s="11" customFormat="1" x14ac:dyDescent="0.25">
      <c r="M9" s="18" t="s">
        <v>18</v>
      </c>
      <c r="N9" s="18" t="s">
        <v>19</v>
      </c>
      <c r="O9" s="18" t="s">
        <v>20</v>
      </c>
      <c r="Q9" s="23" t="s">
        <v>23</v>
      </c>
      <c r="R9" s="24">
        <f>SUM(Taulukko3[Arvioidut suoritukset])</f>
        <v>0</v>
      </c>
      <c r="AC9" s="21" t="s">
        <v>22</v>
      </c>
      <c r="AD9" s="20"/>
      <c r="AE9" s="21" t="s">
        <v>22</v>
      </c>
    </row>
    <row r="10" spans="13:33" s="11" customFormat="1" ht="15.75" thickBot="1" x14ac:dyDescent="0.3">
      <c r="M10" s="19"/>
      <c r="N10" s="19"/>
      <c r="O10" s="19"/>
      <c r="Q10" s="22" t="s">
        <v>24</v>
      </c>
      <c r="R10" s="25">
        <v>0</v>
      </c>
      <c r="AC10" s="21"/>
      <c r="AD10" s="20"/>
      <c r="AE10" s="21"/>
    </row>
    <row r="11" spans="13:33" s="11" customFormat="1" x14ac:dyDescent="0.25">
      <c r="M11" s="19"/>
      <c r="N11" s="19"/>
      <c r="O11" s="19"/>
      <c r="AC11" s="21"/>
      <c r="AD11" s="20"/>
      <c r="AE11" s="21"/>
    </row>
    <row r="12" spans="13:33" s="11" customFormat="1" x14ac:dyDescent="0.25">
      <c r="M12" s="19"/>
      <c r="N12" s="19"/>
      <c r="O12" s="19"/>
      <c r="AC12" s="21"/>
      <c r="AE12" s="21"/>
    </row>
    <row r="13" spans="13:33" s="11" customFormat="1" x14ac:dyDescent="0.25">
      <c r="M13" s="37"/>
      <c r="N13" s="37"/>
      <c r="O13" s="37"/>
      <c r="AC13" s="21"/>
      <c r="AE13" s="21"/>
    </row>
    <row r="14" spans="13:33" s="11" customFormat="1" x14ac:dyDescent="0.25">
      <c r="AC14" s="21"/>
      <c r="AE14" s="21"/>
    </row>
    <row r="15" spans="13:33" s="11" customFormat="1" x14ac:dyDescent="0.25">
      <c r="AC15" s="21"/>
      <c r="AE15" s="21"/>
    </row>
    <row r="16" spans="13:33" s="11" customFormat="1" x14ac:dyDescent="0.25">
      <c r="AC16" s="21"/>
      <c r="AE16" s="21"/>
    </row>
    <row r="17" spans="29:31" s="11" customFormat="1" x14ac:dyDescent="0.25">
      <c r="AC17" s="21"/>
      <c r="AE17" s="21"/>
    </row>
    <row r="18" spans="29:31" s="11" customFormat="1" x14ac:dyDescent="0.25">
      <c r="AC18" s="21"/>
      <c r="AE18" s="21"/>
    </row>
    <row r="19" spans="29:31" s="11" customFormat="1" x14ac:dyDescent="0.25">
      <c r="AC19" s="21"/>
      <c r="AE19" s="21"/>
    </row>
    <row r="20" spans="29:31" s="11" customFormat="1" x14ac:dyDescent="0.25">
      <c r="AC20" s="21"/>
      <c r="AE20" s="21"/>
    </row>
    <row r="21" spans="29:31" s="11" customFormat="1" x14ac:dyDescent="0.25">
      <c r="AC21" s="21"/>
      <c r="AE21" s="21"/>
    </row>
    <row r="22" spans="29:31" s="11" customFormat="1" x14ac:dyDescent="0.25">
      <c r="AC22" s="21"/>
      <c r="AE22" s="21"/>
    </row>
    <row r="23" spans="29:31" s="11" customFormat="1" x14ac:dyDescent="0.25">
      <c r="AC23" s="21"/>
      <c r="AE23" s="21"/>
    </row>
    <row r="24" spans="29:31" s="11" customFormat="1" x14ac:dyDescent="0.25">
      <c r="AC24" s="21"/>
      <c r="AE24" s="21"/>
    </row>
    <row r="25" spans="29:31" s="11" customFormat="1" x14ac:dyDescent="0.25">
      <c r="AC25" s="21"/>
      <c r="AE25" s="21"/>
    </row>
    <row r="26" spans="29:31" s="11" customFormat="1" x14ac:dyDescent="0.25">
      <c r="AC26" s="21"/>
      <c r="AE26" s="21"/>
    </row>
    <row r="27" spans="29:31" s="11" customFormat="1" x14ac:dyDescent="0.25">
      <c r="AC27" s="21"/>
      <c r="AE27" s="21"/>
    </row>
    <row r="28" spans="29:31" s="11" customFormat="1" x14ac:dyDescent="0.25">
      <c r="AC28" s="21"/>
      <c r="AE28" s="21"/>
    </row>
    <row r="29" spans="29:31" s="11" customFormat="1" x14ac:dyDescent="0.25">
      <c r="AC29" s="21"/>
      <c r="AE29" s="21"/>
    </row>
    <row r="30" spans="29:31" s="11" customFormat="1" x14ac:dyDescent="0.25">
      <c r="AC30" s="21"/>
      <c r="AE30" s="21"/>
    </row>
    <row r="31" spans="29:31" s="11" customFormat="1" x14ac:dyDescent="0.25">
      <c r="AC31" s="21"/>
      <c r="AE31" s="21"/>
    </row>
    <row r="32" spans="29:31" s="11" customFormat="1" x14ac:dyDescent="0.25">
      <c r="AC32" s="21"/>
      <c r="AE32" s="21"/>
    </row>
    <row r="33" spans="1:59" s="11" customFormat="1" x14ac:dyDescent="0.25">
      <c r="AC33" s="21"/>
      <c r="AE33" s="21"/>
    </row>
    <row r="34" spans="1:59" s="11" customFormat="1" x14ac:dyDescent="0.25">
      <c r="AC34" s="21"/>
      <c r="AE34" s="21"/>
    </row>
    <row r="35" spans="1:59" s="11" customFormat="1" x14ac:dyDescent="0.25">
      <c r="AC35" s="21"/>
      <c r="AE35" s="21"/>
    </row>
    <row r="36" spans="1:59" s="11" customFormat="1" x14ac:dyDescent="0.25">
      <c r="AC36" s="21"/>
      <c r="AE36" s="21"/>
    </row>
    <row r="37" spans="1:59" s="11" customFormat="1" x14ac:dyDescent="0.25">
      <c r="AC37" s="21"/>
      <c r="AE37" s="21"/>
    </row>
    <row r="38" spans="1:59" s="11" customFormat="1" x14ac:dyDescent="0.25">
      <c r="AC38" s="21"/>
      <c r="AE38" s="21"/>
    </row>
    <row r="39" spans="1:59" s="11" customFormat="1" x14ac:dyDescent="0.25">
      <c r="AC39" s="21"/>
      <c r="AE39" s="21"/>
    </row>
    <row r="40" spans="1:59" s="11" customFormat="1" x14ac:dyDescent="0.25">
      <c r="AC40" s="21"/>
      <c r="AE40" s="21"/>
    </row>
    <row r="41" spans="1:59" s="11" customFormat="1" x14ac:dyDescent="0.25">
      <c r="AC41" s="21"/>
      <c r="AE41" s="21"/>
    </row>
    <row r="42" spans="1:59" s="11" customFormat="1" x14ac:dyDescent="0.25">
      <c r="AC42" s="21"/>
      <c r="AE42" s="21"/>
    </row>
    <row r="43" spans="1:59" s="11" customFormat="1" x14ac:dyDescent="0.25">
      <c r="AC43" s="21"/>
      <c r="AE43" s="21"/>
    </row>
    <row r="44" spans="1:59" s="11" customFormat="1" x14ac:dyDescent="0.25">
      <c r="AC44" s="21"/>
      <c r="AE44" s="21"/>
    </row>
    <row r="45" spans="1:59" s="11" customFormat="1" x14ac:dyDescent="0.25">
      <c r="AC45" s="21"/>
      <c r="AE45" s="21"/>
    </row>
    <row r="46" spans="1:59" s="11" customFormat="1" x14ac:dyDescent="0.25">
      <c r="AC46" s="21"/>
      <c r="AE46" s="21"/>
    </row>
    <row r="47" spans="1:59" s="11" customFormat="1" x14ac:dyDescent="0.25">
      <c r="AC47" s="21"/>
      <c r="AE47" s="21"/>
    </row>
    <row r="48" spans="1:59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</row>
    <row r="49" spans="1:59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</row>
    <row r="50" spans="1:59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</row>
    <row r="51" spans="1:59" ht="27.75" customHeight="1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</row>
    <row r="52" spans="1:59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</row>
    <row r="53" spans="1:59" s="9" customFormat="1" x14ac:dyDescent="0.25"/>
    <row r="54" spans="1:59" s="9" customFormat="1" x14ac:dyDescent="0.25"/>
    <row r="55" spans="1:59" s="9" customFormat="1" x14ac:dyDescent="0.25"/>
    <row r="56" spans="1:59" s="9" customFormat="1" x14ac:dyDescent="0.25"/>
    <row r="57" spans="1:59" s="9" customFormat="1" x14ac:dyDescent="0.25"/>
    <row r="58" spans="1:59" s="9" customFormat="1" x14ac:dyDescent="0.25"/>
    <row r="59" spans="1:59" s="9" customFormat="1" x14ac:dyDescent="0.25"/>
    <row r="60" spans="1:59" s="9" customFormat="1" x14ac:dyDescent="0.25"/>
    <row r="61" spans="1:59" s="9" customFormat="1" x14ac:dyDescent="0.25"/>
    <row r="62" spans="1:59" s="9" customFormat="1" x14ac:dyDescent="0.25"/>
    <row r="63" spans="1:59" s="9" customFormat="1" x14ac:dyDescent="0.25"/>
    <row r="64" spans="1:59" s="9" customFormat="1" x14ac:dyDescent="0.25"/>
    <row r="65" s="9" customFormat="1" x14ac:dyDescent="0.25"/>
    <row r="66" s="9" customFormat="1" x14ac:dyDescent="0.25"/>
    <row r="67" s="9" customFormat="1" x14ac:dyDescent="0.25"/>
    <row r="68" s="9" customFormat="1" x14ac:dyDescent="0.25"/>
    <row r="69" s="9" customFormat="1" x14ac:dyDescent="0.25"/>
    <row r="70" s="9" customFormat="1" x14ac:dyDescent="0.25"/>
    <row r="71" s="9" customFormat="1" x14ac:dyDescent="0.25"/>
    <row r="72" s="9" customFormat="1" x14ac:dyDescent="0.25"/>
    <row r="73" s="9" customFormat="1" x14ac:dyDescent="0.25"/>
    <row r="74" s="9" customFormat="1" x14ac:dyDescent="0.25"/>
    <row r="75" s="9" customFormat="1" x14ac:dyDescent="0.25"/>
    <row r="76" s="9" customFormat="1" x14ac:dyDescent="0.25"/>
    <row r="77" s="9" customFormat="1" x14ac:dyDescent="0.25"/>
    <row r="78" s="9" customFormat="1" x14ac:dyDescent="0.25"/>
    <row r="79" s="9" customFormat="1" x14ac:dyDescent="0.25"/>
    <row r="80" s="9" customFormat="1" x14ac:dyDescent="0.25"/>
    <row r="81" s="9" customFormat="1" x14ac:dyDescent="0.25"/>
    <row r="82" s="9" customFormat="1" x14ac:dyDescent="0.25"/>
    <row r="83" s="9" customFormat="1" x14ac:dyDescent="0.25"/>
    <row r="84" s="9" customFormat="1" x14ac:dyDescent="0.25"/>
    <row r="85" s="9" customFormat="1" x14ac:dyDescent="0.25"/>
    <row r="86" s="9" customFormat="1" x14ac:dyDescent="0.25"/>
    <row r="87" s="9" customFormat="1" x14ac:dyDescent="0.25"/>
    <row r="88" s="9" customFormat="1" x14ac:dyDescent="0.25"/>
    <row r="89" s="9" customFormat="1" x14ac:dyDescent="0.25"/>
    <row r="90" s="9" customFormat="1" x14ac:dyDescent="0.25"/>
    <row r="91" s="9" customFormat="1" x14ac:dyDescent="0.25"/>
    <row r="92" s="9" customFormat="1" x14ac:dyDescent="0.25"/>
    <row r="93" s="9" customFormat="1" x14ac:dyDescent="0.25"/>
    <row r="94" s="9" customFormat="1" x14ac:dyDescent="0.25"/>
    <row r="95" s="9" customFormat="1" x14ac:dyDescent="0.25"/>
    <row r="96" s="9" customFormat="1" x14ac:dyDescent="0.25"/>
    <row r="97" s="9" customFormat="1" x14ac:dyDescent="0.25"/>
    <row r="98" s="9" customFormat="1" x14ac:dyDescent="0.25"/>
    <row r="99" s="9" customFormat="1" x14ac:dyDescent="0.25"/>
    <row r="100" s="9" customFormat="1" x14ac:dyDescent="0.25"/>
    <row r="101" s="9" customFormat="1" x14ac:dyDescent="0.25"/>
    <row r="102" s="9" customFormat="1" x14ac:dyDescent="0.25"/>
    <row r="103" s="9" customFormat="1" x14ac:dyDescent="0.25"/>
    <row r="104" s="9" customFormat="1" x14ac:dyDescent="0.25"/>
    <row r="105" s="9" customFormat="1" x14ac:dyDescent="0.25"/>
    <row r="106" s="9" customFormat="1" x14ac:dyDescent="0.25"/>
    <row r="107" s="9" customFormat="1" x14ac:dyDescent="0.25"/>
    <row r="108" s="9" customFormat="1" x14ac:dyDescent="0.25"/>
    <row r="109" s="9" customFormat="1" x14ac:dyDescent="0.25"/>
    <row r="110" s="9" customFormat="1" x14ac:dyDescent="0.25"/>
    <row r="111" s="9" customFormat="1" x14ac:dyDescent="0.25"/>
    <row r="112" s="9" customFormat="1" x14ac:dyDescent="0.25"/>
    <row r="113" s="9" customFormat="1" x14ac:dyDescent="0.25"/>
    <row r="114" s="9" customFormat="1" x14ac:dyDescent="0.25"/>
    <row r="115" s="9" customFormat="1" x14ac:dyDescent="0.25"/>
    <row r="116" s="9" customFormat="1" x14ac:dyDescent="0.25"/>
    <row r="117" s="9" customFormat="1" x14ac:dyDescent="0.25"/>
    <row r="118" s="9" customFormat="1" x14ac:dyDescent="0.25"/>
    <row r="119" s="9" customFormat="1" x14ac:dyDescent="0.25"/>
    <row r="120" s="9" customFormat="1" x14ac:dyDescent="0.25"/>
    <row r="121" s="9" customFormat="1" x14ac:dyDescent="0.25"/>
    <row r="122" s="9" customFormat="1" x14ac:dyDescent="0.25"/>
    <row r="123" s="9" customFormat="1" x14ac:dyDescent="0.25"/>
    <row r="124" s="9" customFormat="1" x14ac:dyDescent="0.25"/>
    <row r="125" s="9" customFormat="1" x14ac:dyDescent="0.25"/>
    <row r="126" s="9" customFormat="1" x14ac:dyDescent="0.25"/>
    <row r="127" s="9" customFormat="1" x14ac:dyDescent="0.25"/>
    <row r="128" s="9" customFormat="1" x14ac:dyDescent="0.25"/>
    <row r="129" s="9" customFormat="1" x14ac:dyDescent="0.25"/>
    <row r="130" s="9" customFormat="1" x14ac:dyDescent="0.25"/>
    <row r="131" s="9" customFormat="1" x14ac:dyDescent="0.25"/>
    <row r="132" s="9" customFormat="1" x14ac:dyDescent="0.25"/>
    <row r="133" s="9" customFormat="1" x14ac:dyDescent="0.25"/>
    <row r="134" s="9" customFormat="1" x14ac:dyDescent="0.25"/>
    <row r="135" s="9" customFormat="1" x14ac:dyDescent="0.25"/>
    <row r="136" s="9" customFormat="1" x14ac:dyDescent="0.25"/>
    <row r="137" s="9" customFormat="1" x14ac:dyDescent="0.25"/>
    <row r="138" s="9" customFormat="1" x14ac:dyDescent="0.25"/>
    <row r="139" s="9" customFormat="1" x14ac:dyDescent="0.25"/>
    <row r="140" s="9" customFormat="1" x14ac:dyDescent="0.25"/>
    <row r="141" s="9" customFormat="1" x14ac:dyDescent="0.25"/>
    <row r="142" s="9" customFormat="1" x14ac:dyDescent="0.25"/>
    <row r="143" s="9" customFormat="1" x14ac:dyDescent="0.25"/>
    <row r="144" s="9" customFormat="1" x14ac:dyDescent="0.25"/>
    <row r="145" s="9" customFormat="1" x14ac:dyDescent="0.25"/>
    <row r="146" s="9" customFormat="1" x14ac:dyDescent="0.25"/>
    <row r="147" s="9" customFormat="1" x14ac:dyDescent="0.25"/>
    <row r="148" s="9" customFormat="1" x14ac:dyDescent="0.25"/>
    <row r="149" s="9" customFormat="1" x14ac:dyDescent="0.25"/>
    <row r="150" s="9" customFormat="1" x14ac:dyDescent="0.25"/>
    <row r="151" s="9" customFormat="1" x14ac:dyDescent="0.25"/>
    <row r="152" s="9" customFormat="1" x14ac:dyDescent="0.25"/>
    <row r="153" s="9" customFormat="1" x14ac:dyDescent="0.25"/>
    <row r="154" s="9" customFormat="1" x14ac:dyDescent="0.25"/>
    <row r="155" s="9" customFormat="1" x14ac:dyDescent="0.25"/>
    <row r="156" s="9" customFormat="1" x14ac:dyDescent="0.25"/>
    <row r="157" s="9" customFormat="1" x14ac:dyDescent="0.25"/>
    <row r="158" s="9" customFormat="1" x14ac:dyDescent="0.25"/>
    <row r="159" s="9" customFormat="1" x14ac:dyDescent="0.25"/>
    <row r="160" s="9" customFormat="1" x14ac:dyDescent="0.25"/>
    <row r="161" s="9" customFormat="1" x14ac:dyDescent="0.25"/>
    <row r="162" s="9" customFormat="1" x14ac:dyDescent="0.25"/>
    <row r="163" s="9" customFormat="1" x14ac:dyDescent="0.25"/>
    <row r="164" s="9" customFormat="1" x14ac:dyDescent="0.25"/>
    <row r="165" s="9" customFormat="1" x14ac:dyDescent="0.25"/>
    <row r="166" s="9" customFormat="1" x14ac:dyDescent="0.25"/>
    <row r="167" s="9" customFormat="1" x14ac:dyDescent="0.25"/>
    <row r="168" s="9" customFormat="1" x14ac:dyDescent="0.25"/>
    <row r="169" s="9" customFormat="1" x14ac:dyDescent="0.25"/>
    <row r="170" s="9" customFormat="1" x14ac:dyDescent="0.25"/>
    <row r="171" s="9" customFormat="1" x14ac:dyDescent="0.25"/>
    <row r="172" s="9" customFormat="1" x14ac:dyDescent="0.25"/>
    <row r="173" s="9" customFormat="1" x14ac:dyDescent="0.25"/>
    <row r="174" s="9" customFormat="1" x14ac:dyDescent="0.25"/>
    <row r="175" s="9" customFormat="1" x14ac:dyDescent="0.25"/>
    <row r="176" s="9" customFormat="1" x14ac:dyDescent="0.25"/>
    <row r="177" s="9" customFormat="1" x14ac:dyDescent="0.25"/>
    <row r="178" s="9" customFormat="1" x14ac:dyDescent="0.25"/>
    <row r="179" s="9" customFormat="1" x14ac:dyDescent="0.25"/>
    <row r="180" s="9" customFormat="1" x14ac:dyDescent="0.25"/>
    <row r="181" s="9" customFormat="1" x14ac:dyDescent="0.25"/>
    <row r="182" s="9" customFormat="1" x14ac:dyDescent="0.25"/>
    <row r="183" s="9" customFormat="1" x14ac:dyDescent="0.25"/>
    <row r="184" s="9" customFormat="1" x14ac:dyDescent="0.25"/>
    <row r="185" s="9" customFormat="1" x14ac:dyDescent="0.25"/>
    <row r="186" s="9" customFormat="1" x14ac:dyDescent="0.25"/>
    <row r="187" s="9" customFormat="1" x14ac:dyDescent="0.25"/>
    <row r="188" s="9" customFormat="1" x14ac:dyDescent="0.25"/>
    <row r="189" s="9" customFormat="1" x14ac:dyDescent="0.25"/>
    <row r="190" s="9" customFormat="1" x14ac:dyDescent="0.25"/>
    <row r="191" s="9" customFormat="1" x14ac:dyDescent="0.25"/>
    <row r="192" s="9" customFormat="1" x14ac:dyDescent="0.25"/>
    <row r="193" s="9" customFormat="1" x14ac:dyDescent="0.25"/>
    <row r="194" s="9" customFormat="1" x14ac:dyDescent="0.25"/>
    <row r="195" s="9" customFormat="1" x14ac:dyDescent="0.25"/>
    <row r="196" s="9" customFormat="1" x14ac:dyDescent="0.25"/>
    <row r="197" s="9" customFormat="1" x14ac:dyDescent="0.25"/>
    <row r="198" s="9" customFormat="1" x14ac:dyDescent="0.25"/>
    <row r="199" s="9" customFormat="1" x14ac:dyDescent="0.25"/>
    <row r="200" s="9" customFormat="1" x14ac:dyDescent="0.25"/>
    <row r="201" s="9" customFormat="1" x14ac:dyDescent="0.25"/>
    <row r="202" s="9" customFormat="1" x14ac:dyDescent="0.25"/>
    <row r="203" s="9" customFormat="1" x14ac:dyDescent="0.25"/>
    <row r="204" s="9" customFormat="1" x14ac:dyDescent="0.25"/>
    <row r="205" s="9" customFormat="1" x14ac:dyDescent="0.25"/>
    <row r="206" s="9" customFormat="1" x14ac:dyDescent="0.25"/>
    <row r="207" s="9" customFormat="1" x14ac:dyDescent="0.25"/>
    <row r="208" s="9" customFormat="1" x14ac:dyDescent="0.25"/>
    <row r="209" s="9" customFormat="1" x14ac:dyDescent="0.25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aaOppilas">
                <anchor moveWithCells="1" sizeWithCells="1">
                  <from>
                    <xdr:col>4</xdr:col>
                    <xdr:colOff>19050</xdr:colOff>
                    <xdr:row>6</xdr:row>
                    <xdr:rowOff>123825</xdr:rowOff>
                  </from>
                  <to>
                    <xdr:col>6</xdr:col>
                    <xdr:colOff>295275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oistaOppilas">
                <anchor moveWithCells="1" sizeWithCells="1">
                  <from>
                    <xdr:col>1</xdr:col>
                    <xdr:colOff>9525</xdr:colOff>
                    <xdr:row>6</xdr:row>
                    <xdr:rowOff>123825</xdr:rowOff>
                  </from>
                  <to>
                    <xdr:col>3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iirryOppilaaseen">
                <anchor moveWithCells="1" sizeWithCells="1">
                  <from>
                    <xdr:col>7</xdr:col>
                    <xdr:colOff>38100</xdr:colOff>
                    <xdr:row>6</xdr:row>
                    <xdr:rowOff>142875</xdr:rowOff>
                  </from>
                  <to>
                    <xdr:col>9</xdr:col>
                    <xdr:colOff>314325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ainike5_Napsauta">
                <anchor moveWithCells="1" sizeWithCells="1">
                  <from>
                    <xdr:col>2</xdr:col>
                    <xdr:colOff>333375</xdr:colOff>
                    <xdr:row>0</xdr:row>
                    <xdr:rowOff>123825</xdr:rowOff>
                  </from>
                  <to>
                    <xdr:col>5</xdr:col>
                    <xdr:colOff>9525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kirjauduSisään">
                <anchor moveWithCells="1" sizeWithCells="1">
                  <from>
                    <xdr:col>5</xdr:col>
                    <xdr:colOff>333375</xdr:colOff>
                    <xdr:row>0</xdr:row>
                    <xdr:rowOff>123825</xdr:rowOff>
                  </from>
                  <to>
                    <xdr:col>8</xdr:col>
                    <xdr:colOff>9525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kirjauduUlos">
                <anchor moveWithCells="1" sizeWithCells="1">
                  <from>
                    <xdr:col>8</xdr:col>
                    <xdr:colOff>333375</xdr:colOff>
                    <xdr:row>0</xdr:row>
                    <xdr:rowOff>123825</xdr:rowOff>
                  </from>
                  <to>
                    <xdr:col>11</xdr:col>
                    <xdr:colOff>9525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luoTunnus">
                <anchor moveWithCells="1" sizeWithCells="1">
                  <from>
                    <xdr:col>2</xdr:col>
                    <xdr:colOff>333375</xdr:colOff>
                    <xdr:row>0</xdr:row>
                    <xdr:rowOff>123825</xdr:rowOff>
                  </from>
                  <to>
                    <xdr:col>5</xdr:col>
                    <xdr:colOff>9525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vaihdaSalasana">
                <anchor moveWithCells="1" sizeWithCells="1">
                  <from>
                    <xdr:col>14</xdr:col>
                    <xdr:colOff>266700</xdr:colOff>
                    <xdr:row>0</xdr:row>
                    <xdr:rowOff>123825</xdr:rowOff>
                  </from>
                  <to>
                    <xdr:col>16</xdr:col>
                    <xdr:colOff>371475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poistaKayttaja">
                <anchor moveWithCells="1" sizeWithCells="1">
                  <from>
                    <xdr:col>16</xdr:col>
                    <xdr:colOff>647700</xdr:colOff>
                    <xdr:row>0</xdr:row>
                    <xdr:rowOff>114300</xdr:rowOff>
                  </from>
                  <to>
                    <xdr:col>16</xdr:col>
                    <xdr:colOff>2143125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3">
    <tablePart r:id="rId13"/>
    <tablePart r:id="rId14"/>
    <tablePart r:id="rId1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68ECE-48CC-4BF7-89E5-1B9415F69E2D}">
  <sheetPr codeName="Taul2"/>
  <dimension ref="A1:AL104"/>
  <sheetViews>
    <sheetView zoomScale="85" zoomScaleNormal="85" workbookViewId="0">
      <selection activeCell="I11" sqref="I11"/>
    </sheetView>
  </sheetViews>
  <sheetFormatPr defaultRowHeight="15" x14ac:dyDescent="0.25"/>
  <cols>
    <col min="1" max="1" width="9.28515625" customWidth="1"/>
    <col min="2" max="2" width="10.5703125" customWidth="1"/>
    <col min="3" max="3" width="9" customWidth="1"/>
    <col min="4" max="4" width="10.140625" customWidth="1"/>
    <col min="5" max="5" width="17.140625" customWidth="1"/>
    <col min="7" max="9" width="9.5703125" customWidth="1"/>
    <col min="11" max="13" width="9.42578125" customWidth="1"/>
    <col min="15" max="17" width="9.42578125" customWidth="1"/>
    <col min="19" max="21" width="9.42578125" customWidth="1"/>
  </cols>
  <sheetData>
    <row r="1" spans="1:38" s="34" customFormat="1" x14ac:dyDescent="0.25">
      <c r="A1" t="s">
        <v>26</v>
      </c>
      <c r="B1" t="s">
        <v>27</v>
      </c>
      <c r="C1" t="s">
        <v>28</v>
      </c>
      <c r="D1" t="s">
        <v>29</v>
      </c>
      <c r="E1" t="s">
        <v>30</v>
      </c>
      <c r="F1" s="35"/>
      <c r="G1" s="36"/>
      <c r="H1" s="36"/>
      <c r="I1" s="36"/>
      <c r="J1" s="35"/>
      <c r="K1" s="36"/>
      <c r="L1" s="36"/>
      <c r="M1" s="36"/>
      <c r="N1" s="35"/>
      <c r="O1" s="36"/>
      <c r="P1" s="36"/>
      <c r="Q1" s="36"/>
      <c r="R1" s="35"/>
      <c r="S1" s="36"/>
      <c r="T1" s="36"/>
      <c r="U1" s="36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</row>
    <row r="2" spans="1:38" s="34" customFormat="1" x14ac:dyDescent="0.25">
      <c r="A2"/>
      <c r="B2"/>
      <c r="C2"/>
      <c r="D2"/>
      <c r="E2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</row>
    <row r="3" spans="1:38" s="34" customFormat="1" x14ac:dyDescent="0.25">
      <c r="A3"/>
      <c r="B3"/>
      <c r="C3"/>
      <c r="D3"/>
      <c r="E3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</row>
    <row r="4" spans="1:38" s="34" customFormat="1" x14ac:dyDescent="0.25">
      <c r="A4"/>
      <c r="B4"/>
      <c r="C4"/>
      <c r="D4"/>
      <c r="E4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</row>
    <row r="5" spans="1:38" s="34" customFormat="1" x14ac:dyDescent="0.25">
      <c r="A5"/>
      <c r="B5"/>
      <c r="C5"/>
      <c r="D5"/>
      <c r="E5"/>
      <c r="F5" s="35"/>
      <c r="G5" s="35"/>
      <c r="H5" s="35"/>
      <c r="I5" s="35"/>
      <c r="J5" s="35"/>
    </row>
    <row r="6" spans="1:38" s="34" customFormat="1" x14ac:dyDescent="0.25">
      <c r="A6"/>
      <c r="B6"/>
      <c r="C6"/>
      <c r="D6"/>
      <c r="E6"/>
      <c r="F6" s="35"/>
      <c r="G6" s="35"/>
      <c r="H6" s="35"/>
      <c r="I6" s="35"/>
      <c r="J6" s="35"/>
    </row>
    <row r="7" spans="1:38" s="34" customFormat="1" x14ac:dyDescent="0.25">
      <c r="A7"/>
      <c r="B7"/>
      <c r="C7"/>
      <c r="D7"/>
      <c r="E7"/>
      <c r="F7" s="35"/>
      <c r="G7" s="35"/>
      <c r="H7" s="35"/>
      <c r="I7" s="35"/>
      <c r="J7" s="35"/>
    </row>
    <row r="8" spans="1:38" s="34" customFormat="1" x14ac:dyDescent="0.25">
      <c r="A8"/>
      <c r="B8"/>
      <c r="C8"/>
      <c r="D8"/>
      <c r="E8"/>
      <c r="F8" s="35"/>
      <c r="G8" s="35"/>
      <c r="H8" s="35"/>
      <c r="I8" s="35"/>
      <c r="J8" s="35"/>
    </row>
    <row r="9" spans="1:38" s="34" customFormat="1" x14ac:dyDescent="0.25">
      <c r="A9"/>
      <c r="B9"/>
      <c r="C9"/>
      <c r="D9"/>
      <c r="E9"/>
      <c r="F9" s="35"/>
      <c r="G9" s="35"/>
      <c r="H9" s="35"/>
      <c r="I9" s="35"/>
      <c r="J9" s="35"/>
    </row>
    <row r="10" spans="1:38" s="34" customFormat="1" x14ac:dyDescent="0.25">
      <c r="A10"/>
      <c r="B10"/>
      <c r="C10"/>
      <c r="D10"/>
      <c r="E10"/>
      <c r="F10" s="35"/>
      <c r="G10" s="35"/>
      <c r="H10" s="35"/>
      <c r="I10" s="35"/>
      <c r="J10" s="35"/>
    </row>
    <row r="11" spans="1:38" s="34" customFormat="1" x14ac:dyDescent="0.25">
      <c r="A11"/>
      <c r="B11"/>
      <c r="C11"/>
      <c r="D11"/>
      <c r="E11"/>
      <c r="F11" s="35"/>
      <c r="G11" s="35"/>
      <c r="H11" s="35"/>
      <c r="I11" s="35"/>
      <c r="J11" s="35"/>
    </row>
    <row r="12" spans="1:38" s="34" customFormat="1" x14ac:dyDescent="0.25">
      <c r="A12"/>
      <c r="B12"/>
      <c r="C12"/>
      <c r="D12"/>
      <c r="E12"/>
      <c r="F12" s="35"/>
      <c r="G12" s="35"/>
      <c r="H12" s="35"/>
      <c r="I12" s="35"/>
      <c r="J12" s="35"/>
    </row>
    <row r="13" spans="1:38" s="34" customFormat="1" x14ac:dyDescent="0.25">
      <c r="A13"/>
      <c r="B13"/>
      <c r="C13"/>
      <c r="D13"/>
      <c r="E13"/>
      <c r="F13" s="35"/>
      <c r="G13" s="35"/>
      <c r="H13" s="35"/>
      <c r="I13" s="35"/>
      <c r="J13" s="35"/>
    </row>
    <row r="14" spans="1:38" s="34" customFormat="1" x14ac:dyDescent="0.25">
      <c r="A14"/>
      <c r="B14"/>
      <c r="C14"/>
      <c r="D14"/>
      <c r="E14"/>
      <c r="F14" s="35"/>
      <c r="G14" s="35"/>
      <c r="H14" s="35"/>
      <c r="I14" s="35"/>
      <c r="J14" s="35"/>
    </row>
    <row r="15" spans="1:38" s="34" customFormat="1" x14ac:dyDescent="0.25">
      <c r="A15"/>
      <c r="B15"/>
      <c r="C15"/>
      <c r="D15"/>
      <c r="E15"/>
      <c r="F15" s="35"/>
      <c r="G15" s="35"/>
      <c r="H15" s="35"/>
      <c r="I15" s="35"/>
      <c r="J15" s="35"/>
    </row>
    <row r="16" spans="1:38" s="34" customFormat="1" x14ac:dyDescent="0.25">
      <c r="A16"/>
      <c r="B16"/>
      <c r="C16"/>
      <c r="D16"/>
      <c r="E16"/>
      <c r="F16" s="35"/>
      <c r="G16" s="35"/>
      <c r="H16" s="35"/>
      <c r="I16" s="35"/>
      <c r="J16" s="35"/>
    </row>
    <row r="17" spans="1:10" s="34" customFormat="1" x14ac:dyDescent="0.25">
      <c r="A17"/>
      <c r="B17"/>
      <c r="C17"/>
      <c r="D17"/>
      <c r="E17"/>
      <c r="F17" s="35"/>
      <c r="G17" s="35"/>
      <c r="H17" s="35"/>
      <c r="I17" s="35"/>
      <c r="J17" s="35"/>
    </row>
    <row r="18" spans="1:10" s="34" customFormat="1" x14ac:dyDescent="0.25">
      <c r="A18"/>
      <c r="B18"/>
      <c r="C18"/>
      <c r="D18"/>
      <c r="E18"/>
      <c r="F18" s="35"/>
      <c r="G18" s="35"/>
      <c r="H18" s="35"/>
      <c r="I18" s="35"/>
      <c r="J18" s="35"/>
    </row>
    <row r="19" spans="1:10" s="34" customFormat="1" x14ac:dyDescent="0.25">
      <c r="A19"/>
      <c r="B19"/>
      <c r="C19"/>
      <c r="D19"/>
      <c r="E19"/>
      <c r="F19" s="35"/>
      <c r="G19" s="35"/>
      <c r="H19" s="35"/>
      <c r="I19" s="35"/>
      <c r="J19" s="35"/>
    </row>
    <row r="20" spans="1:10" s="34" customFormat="1" x14ac:dyDescent="0.25">
      <c r="A20"/>
      <c r="B20"/>
      <c r="C20"/>
      <c r="D20"/>
      <c r="E20"/>
    </row>
    <row r="21" spans="1:10" s="34" customFormat="1" x14ac:dyDescent="0.25">
      <c r="A21" s="33"/>
      <c r="B21" s="33"/>
      <c r="C21" s="33"/>
      <c r="D21" s="33"/>
      <c r="E21" s="33"/>
    </row>
    <row r="22" spans="1:10" s="34" customFormat="1" x14ac:dyDescent="0.25">
      <c r="A22" s="33"/>
      <c r="B22" s="33"/>
      <c r="C22" s="33"/>
      <c r="D22" s="33"/>
      <c r="E22" s="33"/>
    </row>
    <row r="23" spans="1:10" s="34" customFormat="1" x14ac:dyDescent="0.25">
      <c r="A23" s="33"/>
      <c r="B23" s="33"/>
      <c r="C23" s="33"/>
      <c r="D23" s="33"/>
      <c r="E23" s="33"/>
    </row>
    <row r="24" spans="1:10" s="34" customFormat="1" x14ac:dyDescent="0.25">
      <c r="A24" s="33"/>
      <c r="B24" s="33"/>
      <c r="C24" s="33"/>
      <c r="D24" s="33"/>
      <c r="E24" s="33"/>
    </row>
    <row r="25" spans="1:10" s="34" customFormat="1" x14ac:dyDescent="0.25">
      <c r="A25" s="33"/>
      <c r="B25" s="33"/>
      <c r="C25" s="33"/>
      <c r="D25" s="33"/>
      <c r="E25" s="33"/>
    </row>
    <row r="26" spans="1:10" s="34" customFormat="1" x14ac:dyDescent="0.25"/>
    <row r="27" spans="1:10" s="34" customFormat="1" x14ac:dyDescent="0.25"/>
    <row r="28" spans="1:10" s="34" customFormat="1" x14ac:dyDescent="0.25"/>
    <row r="29" spans="1:10" s="34" customFormat="1" x14ac:dyDescent="0.25"/>
    <row r="30" spans="1:10" s="34" customFormat="1" x14ac:dyDescent="0.25"/>
    <row r="31" spans="1:10" s="34" customFormat="1" x14ac:dyDescent="0.25"/>
    <row r="32" spans="1:10" s="34" customFormat="1" x14ac:dyDescent="0.25"/>
    <row r="33" s="34" customFormat="1" x14ac:dyDescent="0.25"/>
    <row r="34" s="34" customFormat="1" x14ac:dyDescent="0.25"/>
    <row r="35" s="34" customFormat="1" x14ac:dyDescent="0.25"/>
    <row r="36" s="34" customFormat="1" x14ac:dyDescent="0.25"/>
    <row r="37" s="34" customFormat="1" x14ac:dyDescent="0.25"/>
    <row r="38" s="34" customFormat="1" x14ac:dyDescent="0.25"/>
    <row r="39" s="34" customFormat="1" x14ac:dyDescent="0.25"/>
    <row r="40" s="34" customFormat="1" x14ac:dyDescent="0.25"/>
    <row r="41" s="34" customFormat="1" x14ac:dyDescent="0.25"/>
    <row r="42" s="34" customFormat="1" x14ac:dyDescent="0.25"/>
    <row r="43" s="34" customFormat="1" x14ac:dyDescent="0.25"/>
    <row r="44" s="34" customFormat="1" x14ac:dyDescent="0.25"/>
    <row r="45" s="34" customFormat="1" x14ac:dyDescent="0.25"/>
    <row r="46" s="34" customFormat="1" x14ac:dyDescent="0.25"/>
    <row r="47" s="34" customFormat="1" x14ac:dyDescent="0.25"/>
    <row r="48" s="34" customFormat="1" x14ac:dyDescent="0.25"/>
    <row r="49" s="34" customFormat="1" x14ac:dyDescent="0.25"/>
    <row r="50" s="34" customFormat="1" x14ac:dyDescent="0.25"/>
    <row r="51" s="34" customFormat="1" x14ac:dyDescent="0.25"/>
    <row r="52" s="34" customFormat="1" x14ac:dyDescent="0.25"/>
    <row r="53" s="34" customFormat="1" x14ac:dyDescent="0.25"/>
    <row r="54" s="34" customFormat="1" x14ac:dyDescent="0.25"/>
    <row r="55" s="34" customFormat="1" x14ac:dyDescent="0.25"/>
    <row r="56" s="34" customFormat="1" x14ac:dyDescent="0.25"/>
    <row r="57" s="34" customFormat="1" x14ac:dyDescent="0.25"/>
    <row r="58" s="34" customFormat="1" x14ac:dyDescent="0.25"/>
    <row r="59" s="34" customFormat="1" x14ac:dyDescent="0.25"/>
    <row r="60" s="34" customFormat="1" x14ac:dyDescent="0.25"/>
    <row r="61" s="34" customFormat="1" x14ac:dyDescent="0.25"/>
    <row r="62" s="34" customFormat="1" x14ac:dyDescent="0.25"/>
    <row r="63" s="34" customFormat="1" x14ac:dyDescent="0.25"/>
    <row r="64" s="34" customFormat="1" x14ac:dyDescent="0.25"/>
    <row r="65" s="34" customFormat="1" x14ac:dyDescent="0.25"/>
    <row r="66" s="34" customFormat="1" x14ac:dyDescent="0.25"/>
    <row r="67" s="34" customFormat="1" x14ac:dyDescent="0.25"/>
    <row r="68" s="34" customFormat="1" x14ac:dyDescent="0.25"/>
    <row r="69" s="34" customFormat="1" x14ac:dyDescent="0.25"/>
    <row r="70" s="34" customFormat="1" x14ac:dyDescent="0.25"/>
    <row r="71" s="34" customFormat="1" x14ac:dyDescent="0.25"/>
    <row r="72" s="34" customFormat="1" x14ac:dyDescent="0.25"/>
    <row r="73" s="34" customFormat="1" x14ac:dyDescent="0.25"/>
    <row r="74" s="34" customFormat="1" x14ac:dyDescent="0.25"/>
    <row r="75" s="34" customFormat="1" x14ac:dyDescent="0.25"/>
    <row r="76" s="34" customFormat="1" x14ac:dyDescent="0.25"/>
    <row r="77" s="34" customFormat="1" x14ac:dyDescent="0.25"/>
    <row r="78" s="34" customFormat="1" x14ac:dyDescent="0.25"/>
    <row r="79" s="34" customFormat="1" x14ac:dyDescent="0.25"/>
    <row r="80" s="34" customFormat="1" x14ac:dyDescent="0.25"/>
    <row r="81" s="34" customFormat="1" x14ac:dyDescent="0.25"/>
    <row r="82" s="34" customFormat="1" x14ac:dyDescent="0.25"/>
    <row r="83" s="34" customFormat="1" x14ac:dyDescent="0.25"/>
    <row r="84" s="34" customFormat="1" x14ac:dyDescent="0.25"/>
    <row r="85" s="34" customFormat="1" x14ac:dyDescent="0.25"/>
    <row r="86" s="34" customFormat="1" x14ac:dyDescent="0.25"/>
    <row r="87" s="34" customFormat="1" x14ac:dyDescent="0.25"/>
    <row r="88" s="34" customFormat="1" x14ac:dyDescent="0.25"/>
    <row r="89" s="34" customFormat="1" x14ac:dyDescent="0.25"/>
    <row r="90" s="34" customFormat="1" x14ac:dyDescent="0.25"/>
    <row r="91" s="34" customFormat="1" x14ac:dyDescent="0.25"/>
    <row r="92" s="34" customFormat="1" x14ac:dyDescent="0.25"/>
    <row r="93" s="34" customFormat="1" x14ac:dyDescent="0.25"/>
    <row r="94" s="34" customFormat="1" x14ac:dyDescent="0.25"/>
    <row r="95" s="34" customFormat="1" x14ac:dyDescent="0.25"/>
    <row r="96" s="34" customFormat="1" x14ac:dyDescent="0.25"/>
    <row r="97" s="34" customFormat="1" x14ac:dyDescent="0.25"/>
    <row r="98" s="34" customFormat="1" x14ac:dyDescent="0.25"/>
    <row r="99" s="34" customFormat="1" x14ac:dyDescent="0.25"/>
    <row r="100" s="34" customFormat="1" x14ac:dyDescent="0.25"/>
    <row r="101" s="34" customFormat="1" x14ac:dyDescent="0.25"/>
    <row r="102" s="34" customFormat="1" x14ac:dyDescent="0.25"/>
    <row r="103" s="34" customFormat="1" x14ac:dyDescent="0.25"/>
    <row r="104" s="33" customFormat="1" x14ac:dyDescent="0.25"/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05DC3-3E14-4DBE-90D1-51EFC8F3FB7A}">
  <sheetPr codeName="Taul3"/>
  <dimension ref="A1:Q98"/>
  <sheetViews>
    <sheetView workbookViewId="0">
      <selection activeCell="K27" sqref="K27"/>
    </sheetView>
  </sheetViews>
  <sheetFormatPr defaultRowHeight="15" x14ac:dyDescent="0.25"/>
  <cols>
    <col min="2" max="2" width="18.85546875" bestFit="1" customWidth="1"/>
    <col min="3" max="4" width="18.85546875" customWidth="1"/>
    <col min="5" max="5" width="15.85546875" bestFit="1" customWidth="1"/>
    <col min="6" max="6" width="10.85546875" bestFit="1" customWidth="1"/>
    <col min="13" max="13" width="22.42578125" customWidth="1"/>
  </cols>
  <sheetData>
    <row r="1" spans="1:17" s="9" customFormat="1" ht="15.75" thickBot="1" x14ac:dyDescent="0.3">
      <c r="P1" s="17">
        <v>1</v>
      </c>
      <c r="Q1" s="17"/>
    </row>
    <row r="2" spans="1:17" s="10" customFormat="1" ht="15.75" thickBot="1" x14ac:dyDescent="0.3">
      <c r="A2" s="28"/>
      <c r="B2" t="s">
        <v>0</v>
      </c>
      <c r="C2" t="s">
        <v>4</v>
      </c>
      <c r="D2" t="s">
        <v>5</v>
      </c>
      <c r="E2" t="s">
        <v>1</v>
      </c>
      <c r="F2" t="s">
        <v>2</v>
      </c>
      <c r="G2" t="s">
        <v>3</v>
      </c>
      <c r="H2" s="29"/>
      <c r="I2" s="38"/>
      <c r="J2" s="39"/>
      <c r="K2" s="40"/>
    </row>
    <row r="3" spans="1:17" s="10" customFormat="1" ht="15.75" thickBot="1" x14ac:dyDescent="0.3">
      <c r="A3" s="26">
        <v>1</v>
      </c>
      <c r="B3"/>
      <c r="C3" s="1"/>
      <c r="D3" s="2"/>
      <c r="E3"/>
      <c r="F3"/>
      <c r="G3"/>
      <c r="H3" s="29"/>
      <c r="I3" s="41"/>
      <c r="J3" s="42"/>
      <c r="K3" s="43"/>
      <c r="M3" s="44" t="s">
        <v>16</v>
      </c>
      <c r="N3" s="45"/>
    </row>
    <row r="4" spans="1:17" s="11" customFormat="1" x14ac:dyDescent="0.25">
      <c r="A4" s="27">
        <v>2</v>
      </c>
      <c r="B4"/>
      <c r="C4" s="1"/>
      <c r="D4" s="2"/>
      <c r="E4"/>
      <c r="F4"/>
      <c r="G4"/>
      <c r="H4" s="30"/>
      <c r="M4" s="6" t="s">
        <v>6</v>
      </c>
      <c r="N4" s="3">
        <f>COUNTIF(Taulukko1[Arviointiluokka],"Oppitunti")</f>
        <v>0</v>
      </c>
    </row>
    <row r="5" spans="1:17" s="11" customFormat="1" x14ac:dyDescent="0.25">
      <c r="A5" s="27">
        <v>3</v>
      </c>
      <c r="B5" s="14"/>
      <c r="C5" s="15"/>
      <c r="D5" s="16"/>
      <c r="E5" s="14"/>
      <c r="F5" s="14"/>
      <c r="G5" s="14"/>
      <c r="H5" s="30"/>
      <c r="M5" s="7" t="s">
        <v>7</v>
      </c>
      <c r="N5" s="4" t="e">
        <f>AVERAGEIFS(Taulukko1[Arvosana],Taulukko1[Arviointiluokka],"Oppitunti")</f>
        <v>#DIV/0!</v>
      </c>
    </row>
    <row r="6" spans="1:17" s="11" customFormat="1" x14ac:dyDescent="0.25">
      <c r="A6" s="27">
        <v>4</v>
      </c>
      <c r="B6" s="14"/>
      <c r="C6" s="14"/>
      <c r="D6" s="14"/>
      <c r="E6" s="14"/>
      <c r="F6" s="14"/>
      <c r="G6" s="14"/>
      <c r="H6" s="30"/>
      <c r="M6" s="7" t="s">
        <v>8</v>
      </c>
      <c r="N6" s="4">
        <f>COUNTIF(Taulukko1[Arviointiluokka],"Näyttö")</f>
        <v>0</v>
      </c>
    </row>
    <row r="7" spans="1:17" s="11" customFormat="1" x14ac:dyDescent="0.25">
      <c r="A7" s="27">
        <v>5</v>
      </c>
      <c r="B7" s="14"/>
      <c r="C7" s="14"/>
      <c r="D7" s="14"/>
      <c r="E7" s="14"/>
      <c r="F7" s="14"/>
      <c r="G7" s="14"/>
      <c r="H7" s="30"/>
      <c r="M7" s="7" t="s">
        <v>9</v>
      </c>
      <c r="N7" s="4" t="e">
        <f>AVERAGEIFS(Taulukko1[Arvosana],Taulukko1[Arviointiluokka],"Näyttö")</f>
        <v>#DIV/0!</v>
      </c>
    </row>
    <row r="8" spans="1:17" s="11" customFormat="1" x14ac:dyDescent="0.25">
      <c r="A8" s="27">
        <v>6</v>
      </c>
      <c r="B8" s="14"/>
      <c r="C8" s="14"/>
      <c r="D8" s="14"/>
      <c r="E8" s="14"/>
      <c r="F8" s="14"/>
      <c r="G8" s="14"/>
      <c r="H8" s="30"/>
      <c r="M8" s="7" t="s">
        <v>10</v>
      </c>
      <c r="N8" s="4">
        <f>COUNTIF(Taulukko1[Arviointiluokka],"Koe")</f>
        <v>0</v>
      </c>
    </row>
    <row r="9" spans="1:17" s="11" customFormat="1" x14ac:dyDescent="0.25">
      <c r="A9" s="27">
        <v>7</v>
      </c>
      <c r="B9" s="14"/>
      <c r="C9" s="14"/>
      <c r="D9" s="14"/>
      <c r="E9" s="14"/>
      <c r="F9" s="14"/>
      <c r="G9" s="14"/>
      <c r="H9" s="30"/>
      <c r="M9" s="7" t="s">
        <v>11</v>
      </c>
      <c r="N9" s="4" t="e">
        <f>AVERAGEIFS(Taulukko1[Arvosana],Taulukko1[Arviointiluokka],"Koe")</f>
        <v>#DIV/0!</v>
      </c>
    </row>
    <row r="10" spans="1:17" s="11" customFormat="1" x14ac:dyDescent="0.25">
      <c r="A10" s="27">
        <v>8</v>
      </c>
      <c r="B10" s="14"/>
      <c r="C10" s="14"/>
      <c r="D10" s="14"/>
      <c r="E10" s="14"/>
      <c r="F10" s="14"/>
      <c r="G10" s="14"/>
      <c r="H10" s="30"/>
      <c r="M10" s="7" t="s">
        <v>12</v>
      </c>
      <c r="N10" s="4">
        <f>COUNTIF(Taulukko1[Arviointiluokka],"Muu")</f>
        <v>0</v>
      </c>
    </row>
    <row r="11" spans="1:17" s="11" customFormat="1" ht="15.75" thickBot="1" x14ac:dyDescent="0.3">
      <c r="A11" s="27">
        <v>9</v>
      </c>
      <c r="B11" s="14"/>
      <c r="C11" s="14"/>
      <c r="D11" s="14"/>
      <c r="E11" s="14"/>
      <c r="F11" s="14"/>
      <c r="G11" s="14"/>
      <c r="H11" s="30"/>
      <c r="M11" s="8" t="s">
        <v>13</v>
      </c>
      <c r="N11" s="4" t="e">
        <f>AVERAGEIFS(Taulukko1[Arvosana],Taulukko1[Arviointiluokka],"Muu")</f>
        <v>#DIV/0!</v>
      </c>
    </row>
    <row r="12" spans="1:17" s="11" customFormat="1" ht="15.75" thickBot="1" x14ac:dyDescent="0.3">
      <c r="A12" s="27">
        <v>10</v>
      </c>
      <c r="B12" s="14"/>
      <c r="C12" s="14"/>
      <c r="D12" s="14"/>
      <c r="E12" s="14"/>
      <c r="F12" s="14"/>
      <c r="G12" s="14"/>
      <c r="H12" s="30"/>
    </row>
    <row r="13" spans="1:17" s="11" customFormat="1" x14ac:dyDescent="0.25">
      <c r="A13" s="27">
        <v>11</v>
      </c>
      <c r="B13" s="14"/>
      <c r="C13" s="14"/>
      <c r="D13" s="14"/>
      <c r="E13" s="14"/>
      <c r="F13" s="14"/>
      <c r="G13" s="14"/>
      <c r="H13" s="30"/>
      <c r="M13" s="6" t="s">
        <v>14</v>
      </c>
      <c r="N13" s="3">
        <f>COUNT(Taulukko1[Arvosana])</f>
        <v>0</v>
      </c>
    </row>
    <row r="14" spans="1:17" s="11" customFormat="1" x14ac:dyDescent="0.25">
      <c r="A14" s="27">
        <v>12</v>
      </c>
      <c r="B14" s="14"/>
      <c r="C14" s="14"/>
      <c r="D14" s="14"/>
      <c r="E14" s="14"/>
      <c r="F14" s="14"/>
      <c r="G14" s="14"/>
      <c r="H14" s="30"/>
      <c r="M14" s="7" t="s">
        <v>15</v>
      </c>
      <c r="N14" s="4" t="e">
        <f>AVERAGE(Taulukko1[Arvosana])</f>
        <v>#DIV/0!</v>
      </c>
    </row>
    <row r="15" spans="1:17" s="11" customFormat="1" ht="15.75" thickBot="1" x14ac:dyDescent="0.3">
      <c r="A15" s="27">
        <v>13</v>
      </c>
      <c r="B15" s="14"/>
      <c r="C15" s="14"/>
      <c r="D15" s="14"/>
      <c r="E15" s="14"/>
      <c r="F15" s="14"/>
      <c r="G15" s="14"/>
      <c r="H15" s="30"/>
      <c r="M15" s="8" t="s">
        <v>17</v>
      </c>
      <c r="N15" s="5" t="e">
        <f>MODE(Taulukko1[Arvosana])</f>
        <v>#VALUE!</v>
      </c>
    </row>
    <row r="16" spans="1:17" s="11" customFormat="1" x14ac:dyDescent="0.25">
      <c r="A16" s="27">
        <v>14</v>
      </c>
      <c r="B16" s="14"/>
      <c r="C16" s="14"/>
      <c r="D16" s="14"/>
      <c r="E16" s="14"/>
      <c r="F16" s="14"/>
      <c r="G16" s="14"/>
      <c r="H16" s="30"/>
    </row>
    <row r="17" spans="1:8" s="11" customFormat="1" x14ac:dyDescent="0.25">
      <c r="A17" s="27">
        <v>15</v>
      </c>
      <c r="B17" s="14"/>
      <c r="C17" s="14"/>
      <c r="D17" s="14"/>
      <c r="E17" s="14"/>
      <c r="F17" s="14"/>
      <c r="G17" s="14"/>
      <c r="H17" s="30"/>
    </row>
    <row r="18" spans="1:8" s="11" customFormat="1" x14ac:dyDescent="0.25">
      <c r="A18" s="27">
        <v>16</v>
      </c>
      <c r="B18" s="14"/>
      <c r="C18" s="14"/>
      <c r="D18" s="14"/>
      <c r="E18" s="14"/>
      <c r="F18" s="14"/>
      <c r="G18" s="14"/>
      <c r="H18" s="30"/>
    </row>
    <row r="19" spans="1:8" s="11" customFormat="1" x14ac:dyDescent="0.25">
      <c r="A19" s="27">
        <v>17</v>
      </c>
      <c r="B19" s="14"/>
      <c r="C19" s="14"/>
      <c r="D19" s="14"/>
      <c r="E19" s="14"/>
      <c r="F19" s="14"/>
      <c r="G19" s="14"/>
      <c r="H19" s="30"/>
    </row>
    <row r="20" spans="1:8" s="11" customFormat="1" x14ac:dyDescent="0.25">
      <c r="A20" s="27">
        <v>18</v>
      </c>
      <c r="B20" s="14"/>
      <c r="C20" s="14"/>
      <c r="D20" s="14"/>
      <c r="E20" s="14"/>
      <c r="F20" s="14"/>
      <c r="G20" s="14"/>
      <c r="H20" s="30"/>
    </row>
    <row r="21" spans="1:8" s="11" customFormat="1" x14ac:dyDescent="0.25">
      <c r="A21" s="27">
        <v>19</v>
      </c>
      <c r="B21" s="14"/>
      <c r="C21" s="14"/>
      <c r="D21" s="14"/>
      <c r="E21" s="14"/>
      <c r="F21" s="14"/>
      <c r="G21" s="14"/>
      <c r="H21" s="30"/>
    </row>
    <row r="22" spans="1:8" s="11" customFormat="1" x14ac:dyDescent="0.25">
      <c r="A22" s="27">
        <v>20</v>
      </c>
      <c r="B22" s="14"/>
      <c r="C22" s="14"/>
      <c r="D22" s="14"/>
      <c r="E22" s="14"/>
      <c r="F22" s="14"/>
      <c r="G22" s="14"/>
      <c r="H22" s="30"/>
    </row>
    <row r="23" spans="1:8" s="11" customFormat="1" x14ac:dyDescent="0.25">
      <c r="A23" s="27">
        <v>21</v>
      </c>
      <c r="B23" s="14"/>
      <c r="C23" s="14"/>
      <c r="D23" s="14"/>
      <c r="E23" s="14"/>
      <c r="F23" s="14"/>
      <c r="G23" s="14"/>
      <c r="H23" s="30"/>
    </row>
    <row r="24" spans="1:8" s="11" customFormat="1" x14ac:dyDescent="0.25">
      <c r="A24" s="27">
        <v>22</v>
      </c>
      <c r="B24" s="14"/>
      <c r="C24" s="14"/>
      <c r="D24" s="14"/>
      <c r="E24" s="14"/>
      <c r="F24" s="14"/>
      <c r="G24" s="14"/>
      <c r="H24" s="30"/>
    </row>
    <row r="25" spans="1:8" s="11" customFormat="1" x14ac:dyDescent="0.25">
      <c r="A25" s="27">
        <v>23</v>
      </c>
      <c r="B25" s="14"/>
      <c r="C25" s="14"/>
      <c r="D25" s="14"/>
      <c r="E25" s="14"/>
      <c r="F25" s="14"/>
      <c r="G25" s="14"/>
      <c r="H25" s="30"/>
    </row>
    <row r="26" spans="1:8" s="11" customFormat="1" x14ac:dyDescent="0.25">
      <c r="A26" s="27">
        <v>24</v>
      </c>
      <c r="B26" s="14"/>
      <c r="C26" s="14"/>
      <c r="D26" s="14"/>
      <c r="E26" s="14"/>
      <c r="F26" s="14"/>
      <c r="G26" s="14"/>
      <c r="H26" s="30"/>
    </row>
    <row r="27" spans="1:8" s="11" customFormat="1" x14ac:dyDescent="0.25">
      <c r="A27" s="27">
        <v>25</v>
      </c>
      <c r="B27" s="14"/>
      <c r="C27" s="14"/>
      <c r="D27" s="14"/>
      <c r="E27" s="14"/>
      <c r="F27" s="14"/>
      <c r="G27" s="14"/>
      <c r="H27" s="30"/>
    </row>
    <row r="28" spans="1:8" s="11" customFormat="1" x14ac:dyDescent="0.25">
      <c r="A28" s="27">
        <v>26</v>
      </c>
      <c r="B28" s="14"/>
      <c r="C28" s="14"/>
      <c r="D28" s="14"/>
      <c r="E28" s="14"/>
      <c r="F28" s="14"/>
      <c r="G28" s="14"/>
      <c r="H28" s="30"/>
    </row>
    <row r="29" spans="1:8" s="11" customFormat="1" x14ac:dyDescent="0.25">
      <c r="A29" s="27">
        <v>27</v>
      </c>
      <c r="B29" s="14"/>
      <c r="C29" s="14"/>
      <c r="D29" s="14"/>
      <c r="E29" s="14"/>
      <c r="F29" s="14"/>
      <c r="G29" s="14"/>
      <c r="H29" s="30"/>
    </row>
    <row r="30" spans="1:8" s="11" customFormat="1" x14ac:dyDescent="0.25">
      <c r="A30" s="27">
        <v>28</v>
      </c>
      <c r="B30" s="14"/>
      <c r="C30" s="14"/>
      <c r="D30" s="14"/>
      <c r="E30" s="14"/>
      <c r="F30" s="14"/>
      <c r="G30" s="14"/>
      <c r="H30" s="30"/>
    </row>
    <row r="31" spans="1:8" s="11" customFormat="1" x14ac:dyDescent="0.25">
      <c r="A31" s="27">
        <v>29</v>
      </c>
      <c r="B31" s="14"/>
      <c r="C31" s="14"/>
      <c r="D31" s="14"/>
      <c r="E31" s="14"/>
      <c r="F31" s="14"/>
      <c r="G31" s="14"/>
      <c r="H31" s="30"/>
    </row>
    <row r="32" spans="1:8" s="11" customFormat="1" x14ac:dyDescent="0.25">
      <c r="A32" s="27">
        <v>30</v>
      </c>
      <c r="B32" s="14"/>
      <c r="C32" s="14"/>
      <c r="D32" s="14"/>
      <c r="E32" s="14"/>
      <c r="F32" s="14"/>
      <c r="G32" s="14"/>
      <c r="H32" s="30"/>
    </row>
    <row r="33" spans="1:8" s="11" customFormat="1" x14ac:dyDescent="0.25">
      <c r="A33" s="27">
        <v>31</v>
      </c>
      <c r="B33" s="14"/>
      <c r="C33" s="14"/>
      <c r="D33" s="14"/>
      <c r="E33" s="14"/>
      <c r="F33" s="14"/>
      <c r="G33" s="14"/>
      <c r="H33" s="30"/>
    </row>
    <row r="34" spans="1:8" s="11" customFormat="1" x14ac:dyDescent="0.25">
      <c r="A34" s="27">
        <v>32</v>
      </c>
      <c r="B34" s="14"/>
      <c r="C34" s="14"/>
      <c r="D34" s="14"/>
      <c r="E34" s="14"/>
      <c r="F34" s="14"/>
      <c r="G34" s="14"/>
      <c r="H34" s="30"/>
    </row>
    <row r="35" spans="1:8" s="11" customFormat="1" x14ac:dyDescent="0.25">
      <c r="A35" s="27">
        <v>33</v>
      </c>
      <c r="B35" s="14"/>
      <c r="C35" s="14"/>
      <c r="D35" s="14"/>
      <c r="E35" s="14"/>
      <c r="F35" s="14"/>
      <c r="G35" s="14"/>
      <c r="H35" s="30"/>
    </row>
    <row r="36" spans="1:8" s="11" customFormat="1" x14ac:dyDescent="0.25">
      <c r="A36" s="27">
        <v>34</v>
      </c>
      <c r="B36" s="14"/>
      <c r="C36" s="14"/>
      <c r="D36" s="14"/>
      <c r="E36" s="14"/>
      <c r="F36" s="14"/>
      <c r="G36" s="14"/>
      <c r="H36" s="30"/>
    </row>
    <row r="37" spans="1:8" s="11" customFormat="1" x14ac:dyDescent="0.25">
      <c r="A37" s="27">
        <v>35</v>
      </c>
      <c r="B37" s="14"/>
      <c r="C37" s="14"/>
      <c r="D37" s="14"/>
      <c r="E37" s="14"/>
      <c r="F37" s="14"/>
      <c r="G37" s="14"/>
      <c r="H37" s="30"/>
    </row>
    <row r="38" spans="1:8" s="11" customFormat="1" x14ac:dyDescent="0.25">
      <c r="A38" s="27">
        <v>36</v>
      </c>
      <c r="B38" s="14"/>
      <c r="C38" s="14"/>
      <c r="D38" s="14"/>
      <c r="E38" s="14"/>
      <c r="F38" s="14"/>
      <c r="G38" s="14"/>
      <c r="H38" s="30"/>
    </row>
    <row r="39" spans="1:8" s="11" customFormat="1" x14ac:dyDescent="0.25">
      <c r="A39" s="27">
        <v>37</v>
      </c>
      <c r="B39" s="14"/>
      <c r="C39" s="14"/>
      <c r="D39" s="14"/>
      <c r="E39" s="14"/>
      <c r="F39" s="14"/>
      <c r="G39" s="14"/>
      <c r="H39" s="30"/>
    </row>
    <row r="40" spans="1:8" s="11" customFormat="1" x14ac:dyDescent="0.25">
      <c r="A40" s="27">
        <v>38</v>
      </c>
      <c r="B40" s="14"/>
      <c r="C40" s="14"/>
      <c r="D40" s="14"/>
      <c r="E40" s="14"/>
      <c r="F40" s="14"/>
      <c r="G40" s="14"/>
      <c r="H40" s="30"/>
    </row>
    <row r="41" spans="1:8" s="11" customFormat="1" x14ac:dyDescent="0.25">
      <c r="A41" s="27">
        <v>39</v>
      </c>
      <c r="B41" s="14"/>
      <c r="C41" s="14"/>
      <c r="D41" s="14"/>
      <c r="E41" s="14"/>
      <c r="F41" s="14"/>
      <c r="G41" s="14"/>
      <c r="H41" s="30"/>
    </row>
    <row r="42" spans="1:8" s="11" customFormat="1" x14ac:dyDescent="0.25">
      <c r="A42" s="27">
        <v>40</v>
      </c>
      <c r="B42" s="14"/>
      <c r="C42" s="14"/>
      <c r="D42" s="14"/>
      <c r="E42" s="14"/>
      <c r="F42" s="14"/>
      <c r="G42" s="14"/>
      <c r="H42" s="30"/>
    </row>
    <row r="43" spans="1:8" s="11" customFormat="1" x14ac:dyDescent="0.25">
      <c r="A43" s="27">
        <v>41</v>
      </c>
      <c r="B43" s="14"/>
      <c r="C43" s="14"/>
      <c r="D43" s="14"/>
      <c r="E43" s="14"/>
      <c r="F43" s="14"/>
      <c r="G43" s="14"/>
      <c r="H43" s="30"/>
    </row>
    <row r="44" spans="1:8" s="11" customFormat="1" x14ac:dyDescent="0.25">
      <c r="A44" s="27">
        <v>42</v>
      </c>
      <c r="B44" s="14"/>
      <c r="C44" s="14"/>
      <c r="D44" s="14"/>
      <c r="E44" s="14"/>
      <c r="F44" s="14"/>
      <c r="G44" s="14"/>
      <c r="H44" s="30"/>
    </row>
    <row r="45" spans="1:8" s="11" customFormat="1" x14ac:dyDescent="0.25">
      <c r="A45" s="27">
        <v>43</v>
      </c>
      <c r="B45" s="14"/>
      <c r="C45" s="14"/>
      <c r="D45" s="14"/>
      <c r="E45" s="14"/>
      <c r="F45" s="14"/>
      <c r="G45" s="14"/>
      <c r="H45" s="30"/>
    </row>
    <row r="46" spans="1:8" s="11" customFormat="1" x14ac:dyDescent="0.25">
      <c r="A46" s="27">
        <v>44</v>
      </c>
      <c r="B46" s="14"/>
      <c r="C46" s="14"/>
      <c r="D46" s="14"/>
      <c r="E46" s="14"/>
      <c r="F46" s="14"/>
      <c r="G46" s="14"/>
      <c r="H46" s="30"/>
    </row>
    <row r="47" spans="1:8" s="11" customFormat="1" x14ac:dyDescent="0.25">
      <c r="A47" s="27">
        <v>45</v>
      </c>
      <c r="B47" s="14"/>
      <c r="C47" s="14"/>
      <c r="D47" s="14"/>
      <c r="E47" s="14"/>
      <c r="F47" s="14"/>
      <c r="G47" s="14"/>
      <c r="H47" s="30"/>
    </row>
    <row r="48" spans="1:8" s="11" customFormat="1" x14ac:dyDescent="0.25">
      <c r="A48" s="27">
        <v>46</v>
      </c>
      <c r="B48" s="14"/>
      <c r="C48" s="14"/>
      <c r="D48" s="14"/>
      <c r="E48" s="14"/>
      <c r="F48" s="14"/>
      <c r="G48" s="14"/>
      <c r="H48" s="30"/>
    </row>
    <row r="49" spans="1:8" s="11" customFormat="1" x14ac:dyDescent="0.25">
      <c r="A49" s="27">
        <v>47</v>
      </c>
      <c r="B49" s="14"/>
      <c r="C49" s="14"/>
      <c r="D49" s="14"/>
      <c r="E49" s="14"/>
      <c r="F49" s="14"/>
      <c r="G49" s="14"/>
      <c r="H49" s="30"/>
    </row>
    <row r="50" spans="1:8" s="11" customFormat="1" x14ac:dyDescent="0.25">
      <c r="A50" s="27">
        <v>48</v>
      </c>
      <c r="B50" s="14"/>
      <c r="C50" s="14"/>
      <c r="D50" s="14"/>
      <c r="E50" s="14"/>
      <c r="F50" s="14"/>
      <c r="G50" s="14"/>
      <c r="H50" s="30"/>
    </row>
    <row r="51" spans="1:8" s="11" customFormat="1" x14ac:dyDescent="0.25">
      <c r="A51" s="27">
        <v>49</v>
      </c>
      <c r="B51" s="14"/>
      <c r="C51" s="14"/>
      <c r="D51" s="14"/>
      <c r="E51" s="14"/>
      <c r="F51" s="14"/>
      <c r="G51" s="14"/>
      <c r="H51" s="30"/>
    </row>
    <row r="52" spans="1:8" s="11" customFormat="1" x14ac:dyDescent="0.25">
      <c r="A52" s="27">
        <v>50</v>
      </c>
      <c r="B52" s="14"/>
      <c r="C52" s="14"/>
      <c r="D52" s="14"/>
      <c r="E52" s="14"/>
      <c r="F52" s="14"/>
      <c r="G52" s="14"/>
      <c r="H52" s="30"/>
    </row>
    <row r="53" spans="1:8" s="11" customFormat="1" x14ac:dyDescent="0.25">
      <c r="A53" s="27">
        <v>51</v>
      </c>
      <c r="B53" s="14"/>
      <c r="C53" s="14"/>
      <c r="D53" s="14"/>
      <c r="E53" s="14"/>
      <c r="F53" s="14"/>
      <c r="G53" s="14"/>
      <c r="H53" s="30"/>
    </row>
    <row r="54" spans="1:8" s="11" customFormat="1" x14ac:dyDescent="0.25">
      <c r="A54" s="27">
        <v>52</v>
      </c>
      <c r="B54" s="14"/>
      <c r="C54" s="14"/>
      <c r="D54" s="14"/>
      <c r="E54" s="14"/>
      <c r="F54" s="14"/>
      <c r="G54" s="14"/>
      <c r="H54" s="30"/>
    </row>
    <row r="55" spans="1:8" s="11" customFormat="1" x14ac:dyDescent="0.25">
      <c r="A55" s="27">
        <v>53</v>
      </c>
      <c r="B55" s="14"/>
      <c r="C55" s="14"/>
      <c r="D55" s="14"/>
      <c r="E55" s="14"/>
      <c r="F55" s="14"/>
      <c r="G55" s="14"/>
      <c r="H55" s="30"/>
    </row>
    <row r="56" spans="1:8" s="11" customFormat="1" x14ac:dyDescent="0.25">
      <c r="A56" s="27">
        <v>54</v>
      </c>
      <c r="B56" s="14"/>
      <c r="C56" s="14"/>
      <c r="D56" s="14"/>
      <c r="E56" s="14"/>
      <c r="F56" s="14"/>
      <c r="G56" s="14"/>
      <c r="H56" s="30"/>
    </row>
    <row r="57" spans="1:8" s="11" customFormat="1" x14ac:dyDescent="0.25">
      <c r="A57" s="27">
        <v>55</v>
      </c>
      <c r="B57" s="14"/>
      <c r="C57" s="14"/>
      <c r="D57" s="14"/>
      <c r="E57" s="14"/>
      <c r="F57" s="14"/>
      <c r="G57" s="14"/>
      <c r="H57" s="30"/>
    </row>
    <row r="58" spans="1:8" s="11" customFormat="1" x14ac:dyDescent="0.25">
      <c r="A58" s="27">
        <v>56</v>
      </c>
      <c r="B58" s="14"/>
      <c r="C58" s="14"/>
      <c r="D58" s="14"/>
      <c r="E58" s="14"/>
      <c r="F58" s="14"/>
      <c r="G58" s="14"/>
      <c r="H58" s="30"/>
    </row>
    <row r="59" spans="1:8" s="11" customFormat="1" x14ac:dyDescent="0.25">
      <c r="A59" s="27">
        <v>57</v>
      </c>
      <c r="B59" s="14"/>
      <c r="C59" s="14"/>
      <c r="D59" s="14"/>
      <c r="E59" s="14"/>
      <c r="F59" s="14"/>
      <c r="G59" s="14"/>
      <c r="H59" s="30"/>
    </row>
    <row r="60" spans="1:8" s="11" customFormat="1" x14ac:dyDescent="0.25">
      <c r="A60" s="27">
        <v>58</v>
      </c>
      <c r="B60" s="14"/>
      <c r="C60" s="14"/>
      <c r="D60" s="14"/>
      <c r="E60" s="14"/>
      <c r="F60" s="14"/>
      <c r="G60" s="14"/>
      <c r="H60" s="30"/>
    </row>
    <row r="61" spans="1:8" s="11" customFormat="1" x14ac:dyDescent="0.25">
      <c r="A61" s="27">
        <v>59</v>
      </c>
      <c r="B61" s="14"/>
      <c r="C61" s="14"/>
      <c r="D61" s="14"/>
      <c r="E61" s="14"/>
      <c r="F61" s="14"/>
      <c r="G61" s="14"/>
      <c r="H61" s="30"/>
    </row>
    <row r="62" spans="1:8" s="11" customFormat="1" x14ac:dyDescent="0.25">
      <c r="A62" s="27">
        <v>60</v>
      </c>
      <c r="B62" s="14"/>
      <c r="C62" s="14"/>
      <c r="D62" s="14"/>
      <c r="E62" s="14"/>
      <c r="F62" s="14"/>
      <c r="G62" s="14"/>
      <c r="H62" s="30"/>
    </row>
    <row r="63" spans="1:8" s="11" customFormat="1" x14ac:dyDescent="0.25">
      <c r="A63" s="27">
        <v>61</v>
      </c>
      <c r="B63" s="14"/>
      <c r="C63" s="14"/>
      <c r="D63" s="14"/>
      <c r="E63" s="14"/>
      <c r="F63" s="14"/>
      <c r="G63" s="14"/>
      <c r="H63" s="30"/>
    </row>
    <row r="64" spans="1:8" s="11" customFormat="1" x14ac:dyDescent="0.25">
      <c r="A64" s="27">
        <v>62</v>
      </c>
      <c r="B64" s="14"/>
      <c r="C64" s="14"/>
      <c r="D64" s="14"/>
      <c r="E64" s="14"/>
      <c r="F64" s="14"/>
      <c r="G64" s="14"/>
      <c r="H64" s="30"/>
    </row>
    <row r="65" spans="1:8" s="11" customFormat="1" x14ac:dyDescent="0.25">
      <c r="A65" s="27">
        <v>63</v>
      </c>
      <c r="B65" s="14"/>
      <c r="C65" s="14"/>
      <c r="D65" s="14"/>
      <c r="E65" s="14"/>
      <c r="F65" s="14"/>
      <c r="G65" s="14"/>
      <c r="H65" s="30"/>
    </row>
    <row r="66" spans="1:8" s="11" customFormat="1" x14ac:dyDescent="0.25">
      <c r="A66" s="27">
        <v>64</v>
      </c>
      <c r="B66" s="14"/>
      <c r="C66" s="14"/>
      <c r="D66" s="14"/>
      <c r="E66" s="14"/>
      <c r="F66" s="14"/>
      <c r="G66" s="14"/>
      <c r="H66" s="30"/>
    </row>
    <row r="67" spans="1:8" s="11" customFormat="1" x14ac:dyDescent="0.25">
      <c r="A67" s="27">
        <v>65</v>
      </c>
      <c r="B67" s="14"/>
      <c r="C67" s="14"/>
      <c r="D67" s="14"/>
      <c r="E67" s="14"/>
      <c r="F67" s="14"/>
      <c r="G67" s="14"/>
      <c r="H67" s="30"/>
    </row>
    <row r="68" spans="1:8" s="11" customFormat="1" x14ac:dyDescent="0.25">
      <c r="A68" s="27">
        <v>66</v>
      </c>
      <c r="B68" s="14"/>
      <c r="C68" s="14"/>
      <c r="D68" s="14"/>
      <c r="E68" s="14"/>
      <c r="F68" s="14"/>
      <c r="G68" s="14"/>
      <c r="H68" s="30"/>
    </row>
    <row r="69" spans="1:8" s="11" customFormat="1" x14ac:dyDescent="0.25">
      <c r="A69" s="27">
        <v>67</v>
      </c>
      <c r="B69" s="14"/>
      <c r="C69" s="14"/>
      <c r="D69" s="14"/>
      <c r="E69" s="14"/>
      <c r="F69" s="14"/>
      <c r="G69" s="14"/>
      <c r="H69" s="30"/>
    </row>
    <row r="70" spans="1:8" s="11" customFormat="1" x14ac:dyDescent="0.25">
      <c r="A70" s="27">
        <v>68</v>
      </c>
      <c r="B70" s="14"/>
      <c r="C70" s="14"/>
      <c r="D70" s="14"/>
      <c r="E70" s="14"/>
      <c r="F70" s="14"/>
      <c r="G70" s="14"/>
      <c r="H70" s="30"/>
    </row>
    <row r="71" spans="1:8" s="11" customFormat="1" x14ac:dyDescent="0.25">
      <c r="A71" s="27">
        <v>69</v>
      </c>
      <c r="B71" s="14"/>
      <c r="C71" s="14"/>
      <c r="D71" s="14"/>
      <c r="E71" s="14"/>
      <c r="F71" s="14"/>
      <c r="G71" s="14"/>
      <c r="H71" s="30"/>
    </row>
    <row r="72" spans="1:8" s="11" customFormat="1" x14ac:dyDescent="0.25">
      <c r="A72" s="27">
        <v>70</v>
      </c>
      <c r="B72" s="14"/>
      <c r="C72" s="14"/>
      <c r="D72" s="14"/>
      <c r="E72" s="14"/>
      <c r="F72" s="14"/>
      <c r="G72" s="14"/>
      <c r="H72" s="30"/>
    </row>
    <row r="73" spans="1:8" s="11" customFormat="1" x14ac:dyDescent="0.25">
      <c r="A73" s="27">
        <v>71</v>
      </c>
      <c r="B73" s="14"/>
      <c r="C73" s="14"/>
      <c r="D73" s="14"/>
      <c r="E73" s="14"/>
      <c r="F73" s="14"/>
      <c r="G73" s="14"/>
      <c r="H73" s="30"/>
    </row>
    <row r="74" spans="1:8" s="11" customFormat="1" x14ac:dyDescent="0.25">
      <c r="A74" s="27">
        <v>72</v>
      </c>
      <c r="B74" s="14"/>
      <c r="C74" s="14"/>
      <c r="D74" s="14"/>
      <c r="E74" s="14"/>
      <c r="F74" s="14"/>
      <c r="G74" s="14"/>
      <c r="H74" s="30"/>
    </row>
    <row r="75" spans="1:8" s="11" customFormat="1" x14ac:dyDescent="0.25">
      <c r="A75" s="27">
        <v>73</v>
      </c>
      <c r="B75" s="14"/>
      <c r="C75" s="14"/>
      <c r="D75" s="14"/>
      <c r="E75" s="14"/>
      <c r="F75" s="14"/>
      <c r="G75" s="14"/>
      <c r="H75" s="30"/>
    </row>
    <row r="76" spans="1:8" s="11" customFormat="1" x14ac:dyDescent="0.25">
      <c r="A76" s="27">
        <v>74</v>
      </c>
      <c r="B76" s="14"/>
      <c r="C76" s="14"/>
      <c r="D76" s="14"/>
      <c r="E76" s="14"/>
      <c r="F76" s="14"/>
      <c r="G76" s="14"/>
      <c r="H76" s="30"/>
    </row>
    <row r="77" spans="1:8" s="11" customFormat="1" x14ac:dyDescent="0.25">
      <c r="A77" s="27">
        <v>75</v>
      </c>
      <c r="B77" s="14"/>
      <c r="C77" s="14"/>
      <c r="D77" s="14"/>
      <c r="E77" s="14"/>
      <c r="F77" s="14"/>
      <c r="G77" s="14"/>
      <c r="H77" s="30"/>
    </row>
    <row r="78" spans="1:8" s="11" customFormat="1" x14ac:dyDescent="0.25">
      <c r="A78" s="27">
        <v>76</v>
      </c>
      <c r="B78" s="14"/>
      <c r="C78" s="14"/>
      <c r="D78" s="14"/>
      <c r="E78" s="14"/>
      <c r="F78" s="14"/>
      <c r="G78" s="14"/>
      <c r="H78" s="30"/>
    </row>
    <row r="79" spans="1:8" s="11" customFormat="1" x14ac:dyDescent="0.25">
      <c r="A79" s="27">
        <v>77</v>
      </c>
      <c r="B79" s="14"/>
      <c r="C79" s="14"/>
      <c r="D79" s="14"/>
      <c r="E79" s="14"/>
      <c r="F79" s="14"/>
      <c r="G79" s="14"/>
      <c r="H79" s="30"/>
    </row>
    <row r="80" spans="1:8" s="11" customFormat="1" x14ac:dyDescent="0.25">
      <c r="A80" s="27">
        <v>78</v>
      </c>
      <c r="B80" s="14"/>
      <c r="C80" s="14"/>
      <c r="D80" s="14"/>
      <c r="E80" s="14"/>
      <c r="F80" s="14"/>
      <c r="G80" s="14"/>
      <c r="H80" s="30"/>
    </row>
    <row r="81" spans="1:8" s="11" customFormat="1" x14ac:dyDescent="0.25">
      <c r="A81" s="27">
        <v>79</v>
      </c>
      <c r="B81" s="14"/>
      <c r="C81" s="14"/>
      <c r="D81" s="14"/>
      <c r="E81" s="14"/>
      <c r="F81" s="14"/>
      <c r="G81" s="14"/>
      <c r="H81" s="30"/>
    </row>
    <row r="82" spans="1:8" s="11" customFormat="1" x14ac:dyDescent="0.25">
      <c r="A82" s="27">
        <v>80</v>
      </c>
      <c r="B82" s="14"/>
      <c r="C82" s="14"/>
      <c r="D82" s="14"/>
      <c r="E82" s="14"/>
      <c r="F82" s="14"/>
      <c r="G82" s="14"/>
      <c r="H82" s="30"/>
    </row>
    <row r="83" spans="1:8" s="11" customFormat="1" x14ac:dyDescent="0.25">
      <c r="A83" s="27">
        <v>81</v>
      </c>
      <c r="B83" s="14"/>
      <c r="C83" s="14"/>
      <c r="D83" s="14"/>
      <c r="E83" s="14"/>
      <c r="F83" s="14"/>
      <c r="G83" s="14"/>
      <c r="H83" s="30"/>
    </row>
    <row r="84" spans="1:8" s="11" customFormat="1" x14ac:dyDescent="0.25">
      <c r="A84" s="27">
        <v>82</v>
      </c>
      <c r="B84" s="14"/>
      <c r="C84" s="14"/>
      <c r="D84" s="14"/>
      <c r="E84" s="14"/>
      <c r="F84" s="14"/>
      <c r="G84" s="14"/>
      <c r="H84" s="30"/>
    </row>
    <row r="85" spans="1:8" s="11" customFormat="1" x14ac:dyDescent="0.25">
      <c r="A85" s="27">
        <v>83</v>
      </c>
      <c r="B85" s="14"/>
      <c r="C85" s="14"/>
      <c r="D85" s="14"/>
      <c r="E85" s="14"/>
      <c r="F85" s="14"/>
      <c r="G85" s="14"/>
      <c r="H85" s="30"/>
    </row>
    <row r="86" spans="1:8" s="11" customFormat="1" x14ac:dyDescent="0.25">
      <c r="A86" s="27">
        <v>84</v>
      </c>
      <c r="B86" s="14"/>
      <c r="C86" s="14"/>
      <c r="D86" s="14"/>
      <c r="E86" s="14"/>
      <c r="F86" s="14"/>
      <c r="G86" s="14"/>
      <c r="H86" s="30"/>
    </row>
    <row r="87" spans="1:8" s="11" customFormat="1" x14ac:dyDescent="0.25">
      <c r="A87" s="27">
        <v>85</v>
      </c>
      <c r="B87" s="14"/>
      <c r="C87" s="14"/>
      <c r="D87" s="14"/>
      <c r="E87" s="14"/>
      <c r="F87" s="14"/>
      <c r="G87" s="14"/>
      <c r="H87" s="30"/>
    </row>
    <row r="88" spans="1:8" s="11" customFormat="1" x14ac:dyDescent="0.25">
      <c r="A88" s="27">
        <v>86</v>
      </c>
      <c r="B88" s="14"/>
      <c r="C88" s="14"/>
      <c r="D88" s="14"/>
      <c r="E88" s="14"/>
      <c r="F88" s="14"/>
      <c r="G88" s="14"/>
      <c r="H88" s="30"/>
    </row>
    <row r="89" spans="1:8" s="11" customFormat="1" x14ac:dyDescent="0.25">
      <c r="A89" s="27">
        <v>87</v>
      </c>
      <c r="B89" s="14"/>
      <c r="C89" s="14"/>
      <c r="D89" s="14"/>
      <c r="E89" s="14"/>
      <c r="F89" s="14"/>
      <c r="G89" s="14"/>
      <c r="H89" s="30"/>
    </row>
    <row r="90" spans="1:8" s="11" customFormat="1" x14ac:dyDescent="0.25">
      <c r="A90" s="27">
        <v>88</v>
      </c>
      <c r="B90" s="14"/>
      <c r="C90" s="14"/>
      <c r="D90" s="14"/>
      <c r="E90" s="14"/>
      <c r="F90" s="14"/>
      <c r="G90" s="14"/>
      <c r="H90" s="30"/>
    </row>
    <row r="91" spans="1:8" s="11" customFormat="1" x14ac:dyDescent="0.25">
      <c r="A91" s="27">
        <v>89</v>
      </c>
      <c r="B91" s="14"/>
      <c r="C91" s="14"/>
      <c r="D91" s="14"/>
      <c r="E91" s="14"/>
      <c r="F91" s="14"/>
      <c r="G91" s="14"/>
      <c r="H91" s="30"/>
    </row>
    <row r="92" spans="1:8" s="11" customFormat="1" x14ac:dyDescent="0.25">
      <c r="A92" s="27">
        <v>90</v>
      </c>
      <c r="B92" s="14"/>
      <c r="C92" s="14"/>
      <c r="D92" s="14"/>
      <c r="E92" s="14"/>
      <c r="F92" s="14"/>
      <c r="G92" s="14"/>
      <c r="H92" s="30"/>
    </row>
    <row r="93" spans="1:8" s="11" customFormat="1" x14ac:dyDescent="0.25">
      <c r="A93" s="27">
        <v>91</v>
      </c>
      <c r="B93" s="14"/>
      <c r="C93" s="14"/>
      <c r="D93" s="14"/>
      <c r="E93" s="14"/>
      <c r="F93" s="14"/>
      <c r="G93" s="14"/>
      <c r="H93" s="30"/>
    </row>
    <row r="94" spans="1:8" s="11" customFormat="1" x14ac:dyDescent="0.25">
      <c r="A94" s="27">
        <v>92</v>
      </c>
      <c r="B94" s="14"/>
      <c r="C94" s="14"/>
      <c r="D94" s="14"/>
      <c r="E94" s="14"/>
      <c r="F94" s="14"/>
      <c r="G94" s="14"/>
      <c r="H94" s="30"/>
    </row>
    <row r="95" spans="1:8" s="11" customFormat="1" x14ac:dyDescent="0.25">
      <c r="A95" s="27">
        <v>93</v>
      </c>
      <c r="B95" s="14"/>
      <c r="C95" s="14"/>
      <c r="D95" s="14"/>
      <c r="E95" s="14"/>
      <c r="F95" s="14"/>
      <c r="G95" s="14"/>
      <c r="H95" s="30"/>
    </row>
    <row r="96" spans="1:8" s="11" customFormat="1" x14ac:dyDescent="0.25">
      <c r="A96" s="27">
        <v>94</v>
      </c>
      <c r="B96" s="14"/>
      <c r="C96" s="14"/>
      <c r="D96" s="14"/>
      <c r="E96" s="14"/>
      <c r="F96" s="14"/>
      <c r="G96" s="14"/>
      <c r="H96" s="30"/>
    </row>
    <row r="97" spans="1:8" s="11" customFormat="1" x14ac:dyDescent="0.25">
      <c r="A97" s="27">
        <v>95</v>
      </c>
      <c r="B97" s="14"/>
      <c r="C97" s="14"/>
      <c r="D97" s="14"/>
      <c r="E97" s="14"/>
      <c r="F97" s="14"/>
      <c r="G97" s="14"/>
      <c r="H97" s="30"/>
    </row>
    <row r="98" spans="1:8" s="11" customFormat="1" x14ac:dyDescent="0.25">
      <c r="A98" s="27">
        <v>96</v>
      </c>
      <c r="B98" s="14"/>
      <c r="C98" s="14"/>
      <c r="D98" s="14"/>
      <c r="E98" s="14"/>
      <c r="F98" s="14"/>
      <c r="G98" s="14"/>
      <c r="H98" s="30"/>
    </row>
  </sheetData>
  <mergeCells count="2">
    <mergeCell ref="I2:K3"/>
    <mergeCell ref="M3:N3"/>
  </mergeCells>
  <phoneticPr fontId="6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isaaArvosana">
                <anchor moveWithCells="1" sizeWithCells="1">
                  <from>
                    <xdr:col>8</xdr:col>
                    <xdr:colOff>28575</xdr:colOff>
                    <xdr:row>4</xdr:row>
                    <xdr:rowOff>9525</xdr:rowOff>
                  </from>
                  <to>
                    <xdr:col>11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oistaArvosana">
                <anchor moveWithCells="1" sizeWithCells="1">
                  <from>
                    <xdr:col>8</xdr:col>
                    <xdr:colOff>9525</xdr:colOff>
                    <xdr:row>7</xdr:row>
                    <xdr:rowOff>47625</xdr:rowOff>
                  </from>
                  <to>
                    <xdr:col>10</xdr:col>
                    <xdr:colOff>590550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muokkaaArvosanaa">
                <anchor moveWithCells="1" sizeWithCells="1">
                  <from>
                    <xdr:col>8</xdr:col>
                    <xdr:colOff>9525</xdr:colOff>
                    <xdr:row>10</xdr:row>
                    <xdr:rowOff>47625</xdr:rowOff>
                  </from>
                  <to>
                    <xdr:col>10</xdr:col>
                    <xdr:colOff>590550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tallennaNimellä">
                <anchor moveWithCells="1" sizeWithCells="1">
                  <from>
                    <xdr:col>8</xdr:col>
                    <xdr:colOff>0</xdr:colOff>
                    <xdr:row>13</xdr:row>
                    <xdr:rowOff>19050</xdr:rowOff>
                  </from>
                  <to>
                    <xdr:col>10</xdr:col>
                    <xdr:colOff>581025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iirryEtusivulle">
                <anchor moveWithCells="1" sizeWithCells="1">
                  <from>
                    <xdr:col>8</xdr:col>
                    <xdr:colOff>9525</xdr:colOff>
                    <xdr:row>16</xdr:row>
                    <xdr:rowOff>9525</xdr:rowOff>
                  </from>
                  <to>
                    <xdr:col>10</xdr:col>
                    <xdr:colOff>590550</xdr:colOff>
                    <xdr:row>17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Etusivu</vt:lpstr>
      <vt:lpstr>masterdata</vt:lpstr>
      <vt:lpstr>Esimerkkitaulukko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Lauri Havi</dc:creator>
  <cp:keywords/>
  <dc:description/>
  <cp:lastModifiedBy>Lauri Havi</cp:lastModifiedBy>
  <cp:revision/>
  <dcterms:created xsi:type="dcterms:W3CDTF">2021-06-26T19:29:02Z</dcterms:created>
  <dcterms:modified xsi:type="dcterms:W3CDTF">2022-10-19T20:07:11Z</dcterms:modified>
  <cp:category/>
  <cp:contentStatus/>
</cp:coreProperties>
</file>